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d6d30581da5a1c8/Desktop/Excel/Excel/"/>
    </mc:Choice>
  </mc:AlternateContent>
  <xr:revisionPtr revIDLastSave="445" documentId="8_{97D43C6B-FAC8-4174-A387-DF08633FFD3F}" xr6:coauthVersionLast="47" xr6:coauthVersionMax="47" xr10:uidLastSave="{B0293AF7-B79E-4A53-9955-EB06ADDD6402}"/>
  <bookViews>
    <workbookView xWindow="-108" yWindow="-108" windowWidth="23256" windowHeight="12456" firstSheet="1" activeTab="1" xr2:uid="{00000000-000D-0000-FFFF-FFFF00000000}"/>
  </bookViews>
  <sheets>
    <sheet name="Sheet2" sheetId="8" r:id="rId1"/>
    <sheet name="Answer" sheetId="6" r:id="rId2"/>
    <sheet name="Sheet1" sheetId="10" r:id="rId3"/>
    <sheet name="Questions" sheetId="5" r:id="rId4"/>
    <sheet name="Instructions" sheetId="1" r:id="rId5"/>
    <sheet name="Product_Master" sheetId="3" r:id="rId6"/>
    <sheet name="Sales_Data" sheetId="2" r:id="rId7"/>
    <sheet name="Sheet3" sheetId="9" r:id="rId8"/>
    <sheet name="Student_Marks" sheetId="4" r:id="rId9"/>
  </sheets>
  <definedNames>
    <definedName name="_xlnm._FilterDatabase" localSheetId="1" hidden="1">Answer!$C$296:$L$302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6" i="6" l="1"/>
  <c r="K326" i="6"/>
  <c r="J326" i="6"/>
  <c r="L325" i="6"/>
  <c r="K325" i="6"/>
  <c r="J325" i="6"/>
  <c r="L324" i="6"/>
  <c r="K324" i="6"/>
  <c r="J324" i="6"/>
  <c r="L323" i="6"/>
  <c r="K323" i="6"/>
  <c r="J323" i="6"/>
  <c r="L322" i="6"/>
  <c r="K322" i="6"/>
  <c r="J322" i="6"/>
  <c r="L321" i="6"/>
  <c r="K321" i="6"/>
  <c r="J321" i="6"/>
  <c r="L310" i="6"/>
  <c r="L311" i="6"/>
  <c r="L312" i="6"/>
  <c r="L313" i="6"/>
  <c r="L314" i="6"/>
  <c r="L309" i="6"/>
  <c r="K314" i="6"/>
  <c r="J314" i="6"/>
  <c r="K313" i="6"/>
  <c r="J313" i="6"/>
  <c r="K312" i="6"/>
  <c r="J312" i="6"/>
  <c r="K311" i="6"/>
  <c r="J311" i="6"/>
  <c r="K310" i="6"/>
  <c r="J310" i="6"/>
  <c r="K309" i="6"/>
  <c r="J309" i="6"/>
  <c r="L298" i="6"/>
  <c r="K302" i="6"/>
  <c r="J302" i="6"/>
  <c r="K301" i="6"/>
  <c r="J301" i="6"/>
  <c r="K300" i="6"/>
  <c r="J300" i="6"/>
  <c r="K299" i="6"/>
  <c r="J299" i="6"/>
  <c r="K298" i="6"/>
  <c r="J298" i="6"/>
  <c r="C284" i="6" s="1" a="1"/>
  <c r="C284" i="6" s="1"/>
  <c r="K297" i="6"/>
  <c r="J297" i="6"/>
  <c r="K279" i="6"/>
  <c r="J279" i="6"/>
  <c r="K278" i="6"/>
  <c r="J278" i="6"/>
  <c r="K277" i="6"/>
  <c r="J277" i="6"/>
  <c r="K276" i="6"/>
  <c r="J276" i="6"/>
  <c r="K275" i="6"/>
  <c r="J275" i="6"/>
  <c r="K274" i="6"/>
  <c r="J274" i="6"/>
  <c r="E263" i="6"/>
  <c r="E264" i="6"/>
  <c r="E265" i="6"/>
  <c r="E266" i="6"/>
  <c r="E267" i="6"/>
  <c r="E262" i="6"/>
  <c r="K260" i="6"/>
  <c r="J260" i="6"/>
  <c r="K259" i="6"/>
  <c r="J259" i="6"/>
  <c r="K258" i="6"/>
  <c r="J258" i="6"/>
  <c r="K257" i="6"/>
  <c r="J257" i="6"/>
  <c r="K256" i="6"/>
  <c r="J256" i="6"/>
  <c r="K255" i="6"/>
  <c r="J255" i="6"/>
  <c r="I245" i="6"/>
  <c r="I246" i="6"/>
  <c r="I247" i="6"/>
  <c r="I248" i="6"/>
  <c r="I244" i="6"/>
  <c r="D237" i="6"/>
  <c r="J222" i="6"/>
  <c r="I156" i="6"/>
  <c r="I157" i="6"/>
  <c r="I158" i="6"/>
  <c r="I159" i="6"/>
  <c r="I155" i="6"/>
  <c r="K146" i="6"/>
  <c r="I137" i="6"/>
  <c r="I136" i="6"/>
  <c r="I135" i="6"/>
  <c r="I134" i="6"/>
  <c r="I133" i="6"/>
  <c r="I123" i="6"/>
  <c r="I124" i="6"/>
  <c r="I125" i="6"/>
  <c r="I126" i="6"/>
  <c r="I122" i="6"/>
  <c r="H115" i="6"/>
  <c r="G115" i="6"/>
  <c r="J114" i="6"/>
  <c r="J111" i="6"/>
  <c r="J109" i="6"/>
  <c r="J110" i="6"/>
  <c r="J112" i="6"/>
  <c r="J113" i="6"/>
  <c r="K96" i="6"/>
  <c r="K97" i="6"/>
  <c r="K98" i="6"/>
  <c r="K99" i="6"/>
  <c r="K100" i="6"/>
  <c r="K101" i="6"/>
  <c r="J101" i="6"/>
  <c r="J100" i="6"/>
  <c r="J99" i="6"/>
  <c r="J98" i="6"/>
  <c r="J97" i="6"/>
  <c r="J96" i="6"/>
  <c r="H72" i="6"/>
  <c r="H73" i="6"/>
  <c r="H74" i="6"/>
  <c r="H75" i="6"/>
  <c r="H76" i="6"/>
  <c r="H71" i="6"/>
  <c r="K134" i="6" l="1"/>
  <c r="J115" i="6"/>
  <c r="C53" i="6"/>
  <c r="K11" i="6"/>
  <c r="K12" i="6"/>
  <c r="K10" i="6"/>
  <c r="K8" i="6"/>
  <c r="K9" i="6"/>
  <c r="K7" i="6"/>
  <c r="G13" i="6"/>
  <c r="H13" i="6"/>
  <c r="J8" i="6"/>
  <c r="E43" i="6" s="1"/>
  <c r="J9" i="6"/>
  <c r="D61" i="6" s="1"/>
  <c r="J10" i="6"/>
  <c r="D62" i="6" s="1"/>
  <c r="J11" i="6"/>
  <c r="E46" i="6" s="1"/>
  <c r="J12" i="6"/>
  <c r="E47" i="6" s="1"/>
  <c r="J7" i="6"/>
  <c r="D59" i="6" s="1"/>
  <c r="J32" i="5"/>
  <c r="L8" i="6" l="1"/>
  <c r="G22" i="6"/>
  <c r="F31" i="6"/>
  <c r="F43" i="6" s="1"/>
  <c r="C84" i="6" s="1"/>
  <c r="L12" i="6"/>
  <c r="L7" i="6"/>
  <c r="G21" i="6" s="1"/>
  <c r="F35" i="6"/>
  <c r="F47" i="6" s="1"/>
  <c r="C88" i="6" s="1"/>
  <c r="J13" i="6"/>
  <c r="L10" i="6"/>
  <c r="F33" i="6" s="1"/>
  <c r="F45" i="6" s="1"/>
  <c r="C86" i="6" s="1"/>
  <c r="F30" i="6"/>
  <c r="F42" i="6" s="1"/>
  <c r="C83" i="6" s="1"/>
  <c r="D60" i="6"/>
  <c r="L11" i="6"/>
  <c r="F34" i="6" s="1"/>
  <c r="F46" i="6" s="1"/>
  <c r="C87" i="6" s="1"/>
  <c r="L9" i="6"/>
  <c r="E42" i="6"/>
  <c r="E45" i="6"/>
  <c r="E44" i="6"/>
  <c r="L13" i="6" l="1"/>
  <c r="G23" i="6"/>
  <c r="F32" i="6"/>
  <c r="F44" i="6" s="1"/>
  <c r="F48" i="6" l="1"/>
  <c r="C85" i="6"/>
  <c r="F85" i="6" l="1"/>
  <c r="F8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<sst xmlns="http://schemas.openxmlformats.org/spreadsheetml/2006/main" count="571" uniqueCount="95">
  <si>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</si>
  <si>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</si>
  <si>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</si>
  <si>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</si>
  <si>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</si>
  <si>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</si>
  <si>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</si>
  <si>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</si>
  <si>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</si>
  <si>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</si>
  <si>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</si>
  <si>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</si>
  <si>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</si>
  <si>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</si>
  <si>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</si>
  <si>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</si>
  <si>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</si>
  <si>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</si>
  <si>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</si>
  <si>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</si>
  <si>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</si>
  <si>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</si>
  <si>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</si>
  <si>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</si>
  <si>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</si>
  <si>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</si>
  <si>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</si>
  <si>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</si>
  <si>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</si>
  <si>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</si>
  <si>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</si>
  <si>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</si>
  <si>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</si>
  <si>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</si>
  <si>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</si>
  <si>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</si>
  <si>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</si>
  <si>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</si>
  <si>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</si>
  <si>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</si>
  <si>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</si>
  <si>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</si>
  <si>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</si>
  <si>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</si>
  <si>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</si>
  <si>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</si>
  <si>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</si>
  <si>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</si>
  <si>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</si>
  <si>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</si>
  <si>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</si>
  <si>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</si>
  <si>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</si>
  <si>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</si>
  <si>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</si>
  <si>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</si>
  <si>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</si>
  <si>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</si>
  <si>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</si>
  <si>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</si>
  <si>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</si>
  <si>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</si>
  <si>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</si>
  <si>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</si>
  <si>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</si>
  <si>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</si>
  <si>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</si>
  <si>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</si>
  <si>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</si>
  <si>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</si>
  <si>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</si>
  <si>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</si>
  <si>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</si>
  <si>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Unit Price</t>
  </si>
  <si>
    <t>Total GST</t>
  </si>
  <si>
    <t>Total Sales</t>
  </si>
  <si>
    <t>GST</t>
  </si>
  <si>
    <t>GST Amount</t>
  </si>
  <si>
    <t>Final Amount</t>
  </si>
  <si>
    <t>Total orders</t>
  </si>
  <si>
    <t>Result</t>
  </si>
  <si>
    <t>min</t>
  </si>
  <si>
    <t>max</t>
  </si>
  <si>
    <t>Row Labels</t>
  </si>
  <si>
    <t>Grand Total</t>
  </si>
  <si>
    <t>Sum of Total Sales</t>
  </si>
  <si>
    <t>month</t>
  </si>
  <si>
    <t>Average</t>
  </si>
  <si>
    <t>topper</t>
  </si>
  <si>
    <t>90% Attendance</t>
  </si>
  <si>
    <t>Eligible</t>
  </si>
  <si>
    <t>(blank)</t>
  </si>
  <si>
    <t>Sum of Excel</t>
  </si>
  <si>
    <t>standard deviation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</si>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</sst>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9" fontId="0" fillId="0" borderId="1" xfId="1" applyFont="1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2" xfId="0" applyBorder="1"/>
    <xf numFmtId="0" fontId="2" fillId="0" borderId="0" xfId="0" applyFont="1"/>
    <xf numFmtId="2" fontId="0" fillId="0" borderId="1" xfId="0" applyNumberFormat="1" applyBorder="1"/>
    <xf numFmtId="0" fontId="0" fillId="2" borderId="0" xfId="0" applyFill="1"/>
    <xf numFmtId="0" fontId="2" fillId="0" borderId="3" xfId="0" applyFont="1" applyBorder="1"/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[Assignment.xlsx]Sheet2!PivotTable6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i="1" u="sng">
                <a:solidFill>
                  <a:schemeClr val="tx2">
                    <a:lumMod val="60000"/>
                    <a:lumOff val="40000"/>
                  </a:schemeClr>
                </a:solidFill>
              </a:rPr>
              <a:t>Product</a:t>
            </a:r>
            <a:r>
              <a:rPr lang="en-US" sz="1200" i="1" u="sng" baseline="0">
                <a:solidFill>
                  <a:schemeClr val="tx2">
                    <a:lumMod val="60000"/>
                    <a:lumOff val="40000"/>
                  </a:schemeClr>
                </a:solidFill>
              </a:rPr>
              <a:t> Wise Sale</a:t>
            </a:r>
            <a:endParaRPr lang="en-US" sz="1200" i="1" u="sng">
              <a:solidFill>
                <a:schemeClr val="tx2">
                  <a:lumMod val="60000"/>
                  <a:lumOff val="40000"/>
                </a:schemeClr>
              </a:solidFill>
            </a:endParaRPr>
          </a:p>
        </c:rich>
      </c:tx>
      <c:layout>
        <c:manualLayout>
          <c:xMode val="edge"/>
          <c:yMode val="edge"/>
          <c:x val="0.2942398546335554"/>
          <c:y val="0.12913564375881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8.6206896551724144E-2"/>
              <c:y val="-0.10769230769230774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20114942528735621"/>
              <c:y val="0.1128205128205127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0.19476372924648785"/>
              <c:y val="3.0769230769230771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0.13409961685823757"/>
              <c:y val="-0.1589743589743589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038-4233-9135-E6489615659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038-4233-9135-E6489615659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038-4233-9135-E6489615659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3038-4233-9135-E6489615659C}"/>
              </c:ext>
            </c:extLst>
          </c:dPt>
          <c:dLbls>
            <c:dLbl>
              <c:idx val="0"/>
              <c:layout>
                <c:manualLayout>
                  <c:x val="8.6206896551724144E-2"/>
                  <c:y val="-0.107692307692307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38-4233-9135-E6489615659C}"/>
                </c:ext>
              </c:extLst>
            </c:dLbl>
            <c:dLbl>
              <c:idx val="1"/>
              <c:layout>
                <c:manualLayout>
                  <c:x val="0.20114942528735621"/>
                  <c:y val="0.112820512820512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38-4233-9135-E6489615659C}"/>
                </c:ext>
              </c:extLst>
            </c:dLbl>
            <c:dLbl>
              <c:idx val="2"/>
              <c:layout>
                <c:manualLayout>
                  <c:x val="-0.19476372924648785"/>
                  <c:y val="3.07692307692307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38-4233-9135-E6489615659C}"/>
                </c:ext>
              </c:extLst>
            </c:dLbl>
            <c:dLbl>
              <c:idx val="3"/>
              <c:layout>
                <c:manualLayout>
                  <c:x val="-0.13409961685823757"/>
                  <c:y val="-0.1589743589743589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38-4233-9135-E6489615659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Sheet2!$A$4:$A$8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(blank)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  <c:pt idx="3">
                  <c:v>414000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38-4233-9135-E648961565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[Assignment.xlsx]Sheet3!PivotTable7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i="1" u="sng"/>
              <a:t>Excel</a:t>
            </a:r>
            <a:r>
              <a:rPr lang="en-US" sz="1600" i="1" u="sng" baseline="0"/>
              <a:t> Marks</a:t>
            </a:r>
            <a:endParaRPr lang="en-US" sz="1600" i="1" u="sng"/>
          </a:p>
        </c:rich>
      </c:tx>
      <c:layout>
        <c:manualLayout>
          <c:xMode val="edge"/>
          <c:yMode val="edge"/>
          <c:x val="0.33573218120462217"/>
          <c:y val="0.11251153332795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4-4922-8623-034B5177C1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29208543"/>
        <c:axId val="262886479"/>
      </c:barChart>
      <c:catAx>
        <c:axId val="82920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86479"/>
        <c:crosses val="autoZero"/>
        <c:auto val="1"/>
        <c:lblAlgn val="ctr"/>
        <c:lblOffset val="100"/>
        <c:noMultiLvlLbl val="0"/>
      </c:catAx>
      <c:valAx>
        <c:axId val="2628864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20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185</xdr:row>
      <xdr:rowOff>175260</xdr:rowOff>
    </xdr:from>
    <xdr:to>
      <xdr:col>6</xdr:col>
      <xdr:colOff>251460</xdr:colOff>
      <xdr:row>198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65763-5781-4581-BD7A-F121629AB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203</xdr:row>
      <xdr:rowOff>0</xdr:rowOff>
    </xdr:from>
    <xdr:to>
      <xdr:col>6</xdr:col>
      <xdr:colOff>297180</xdr:colOff>
      <xdr:row>215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626F9-3960-47DC-AEFA-E4ADC2DF1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1.703362268519" createdVersion="8" refreshedVersion="8" minRefreshableVersion="3" recordCount="7" xr:uid="{7F066271-66A5-4666-9A7D-5E52AB97DCEB}">
  <cacheSource type="worksheet">
    <worksheetSource ref="C6:L13" sheet="Answer"/>
  </cacheSource>
  <cacheFields count="10">
    <cacheField name="Order_ID" numFmtId="0">
      <sharedItems containsString="0" containsBlank="1" containsNumber="1" containsInteger="1" minValue="301" maxValue="306"/>
    </cacheField>
    <cacheField name="Region" numFmtId="0">
      <sharedItems containsBlank="1" count="5">
        <s v="North"/>
        <s v="South"/>
        <s v="East"/>
        <s v="West"/>
        <m/>
      </sharedItems>
    </cacheField>
    <cacheField name="Salesperson" numFmtId="0">
      <sharedItems containsBlank="1"/>
    </cacheField>
    <cacheField name="Product" numFmtId="0">
      <sharedItems containsBlank="1" count="4">
        <s v="Laptop"/>
        <s v="Mobile"/>
        <s v="Tablet"/>
        <m/>
      </sharedItems>
    </cacheField>
    <cacheField name="Quantity" numFmtId="0">
      <sharedItems containsSemiMixedTypes="0" containsString="0" containsNumber="1" containsInteger="1" minValue="1" maxValue="17"/>
    </cacheField>
    <cacheField name="Unit_Price" numFmtId="0">
      <sharedItems containsSemiMixedTypes="0" containsString="0" containsNumber="1" containsInteger="1" minValue="15000" maxValue="183000"/>
    </cacheField>
    <cacheField name="Sales_Date" numFmtId="0">
      <sharedItems containsBlank="1"/>
    </cacheField>
    <cacheField name="Total Sales" numFmtId="0">
      <sharedItems containsSemiMixedTypes="0" containsString="0" containsNumber="1" containsInteger="1" minValue="45000" maxValue="414000"/>
    </cacheField>
    <cacheField name="GST" numFmtId="0">
      <sharedItems containsString="0" containsBlank="1" containsNumber="1" minValue="0.12" maxValue="0.18"/>
    </cacheField>
    <cacheField name="GST Amount" numFmtId="0">
      <sharedItems containsSemiMixedTypes="0" containsString="0" containsNumber="1" containsInteger="1" minValue="6480" maxValue="57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1.70815150463" createdVersion="8" refreshedVersion="8" minRefreshableVersion="3" recordCount="5" xr:uid="{96BB0FC5-F612-471B-B64D-4F37F09D851C}">
  <cacheSource type="worksheet">
    <worksheetSource ref="A1:F6" sheet="Student_Marks"/>
  </cacheSource>
  <cacheFields count="6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301"/>
    <x v="0"/>
    <s v="Amit"/>
    <x v="0"/>
    <n v="2"/>
    <n v="45000"/>
    <s v="05-01-2025"/>
    <n v="90000"/>
    <n v="0.18"/>
    <n v="16200"/>
  </r>
  <r>
    <n v="302"/>
    <x v="1"/>
    <s v="Riya"/>
    <x v="1"/>
    <n v="5"/>
    <n v="15000"/>
    <s v="07-01-2025"/>
    <n v="75000"/>
    <n v="0.12"/>
    <n v="9000"/>
  </r>
  <r>
    <n v="303"/>
    <x v="2"/>
    <s v="Kunal"/>
    <x v="2"/>
    <n v="3"/>
    <n v="18000"/>
    <s v="10-01-2025"/>
    <n v="54000"/>
    <n v="0.12"/>
    <n v="6480"/>
  </r>
  <r>
    <n v="304"/>
    <x v="3"/>
    <s v="Neha"/>
    <x v="0"/>
    <n v="1"/>
    <n v="45000"/>
    <s v="12-01-2025"/>
    <n v="45000"/>
    <n v="0.18"/>
    <n v="8100"/>
  </r>
  <r>
    <n v="305"/>
    <x v="0"/>
    <s v="Amit"/>
    <x v="1"/>
    <n v="4"/>
    <n v="15000"/>
    <s v="15-01-2025"/>
    <n v="60000"/>
    <n v="0.12"/>
    <n v="7200"/>
  </r>
  <r>
    <n v="306"/>
    <x v="1"/>
    <s v="Riya"/>
    <x v="0"/>
    <n v="2"/>
    <n v="45000"/>
    <s v="18-01-2025"/>
    <n v="90000"/>
    <n v="0.12"/>
    <n v="10800"/>
  </r>
  <r>
    <m/>
    <x v="4"/>
    <m/>
    <x v="3"/>
    <n v="17"/>
    <n v="183000"/>
    <m/>
    <n v="414000"/>
    <m/>
    <n v="577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78"/>
    <n v="82"/>
    <n v="85"/>
    <n v="92"/>
  </r>
  <r>
    <n v="2"/>
    <x v="1"/>
    <n v="88"/>
    <n v="91"/>
    <n v="90"/>
    <n v="96"/>
  </r>
  <r>
    <n v="3"/>
    <x v="2"/>
    <n v="65"/>
    <n v="70"/>
    <n v="72"/>
    <n v="85"/>
  </r>
  <r>
    <n v="4"/>
    <x v="3"/>
    <n v="92"/>
    <n v="89"/>
    <n v="94"/>
    <n v="98"/>
  </r>
  <r>
    <n v="5"/>
    <x v="4"/>
    <n v="55"/>
    <n v="60"/>
    <n v="58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C9EA3-B918-4D19-8D64-BFDA99F9E30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0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6F039-340B-47B6-862E-D580AA01750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75:D181" firstHeaderRow="1" firstDataRow="1" firstDataCol="1"/>
  <pivotFields count="10"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97EE2-6B54-4021-8A27-D995782E9FC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65:D170" firstHeaderRow="1" firstDataRow="1" firstDataCol="1"/>
  <pivotFields count="10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717E3-F909-4947-8E08-03A3AF2A7CD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35B6-C6CF-4A3A-BD67-5D625B01414D}">
  <dimension ref="A3:B8"/>
  <sheetViews>
    <sheetView workbookViewId="0">
      <selection activeCell="M3" sqref="M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4" t="s">
        <v>83</v>
      </c>
      <c r="B3" t="s">
        <v>85</v>
      </c>
    </row>
    <row r="4" spans="1:2" x14ac:dyDescent="0.3">
      <c r="A4" s="5" t="s">
        <v>13</v>
      </c>
      <c r="B4">
        <v>225000</v>
      </c>
    </row>
    <row r="5" spans="1:2" x14ac:dyDescent="0.3">
      <c r="A5" s="5" t="s">
        <v>17</v>
      </c>
      <c r="B5">
        <v>135000</v>
      </c>
    </row>
    <row r="6" spans="1:2" x14ac:dyDescent="0.3">
      <c r="A6" s="5" t="s">
        <v>21</v>
      </c>
      <c r="B6">
        <v>54000</v>
      </c>
    </row>
    <row r="7" spans="1:2" x14ac:dyDescent="0.3">
      <c r="A7" s="5" t="s">
        <v>91</v>
      </c>
      <c r="B7">
        <v>414000</v>
      </c>
    </row>
    <row r="8" spans="1:2" x14ac:dyDescent="0.3">
      <c r="A8" s="5" t="s">
        <v>84</v>
      </c>
      <c r="B8">
        <v>828000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AFA6-F22D-4AFF-B7C4-6BEB6B52F13D}">
  <dimension ref="C1:L333"/>
  <sheetViews>
    <sheetView tabSelected="1" workbookViewId="0">
      <pane ySplit="1" topLeftCell="A2" activePane="bottomLeft" state="frozen"/>
      <selection pane="bottomLeft" activeCell="J42" sqref="J42"/>
    </sheetView>
  </sheetViews>
  <sheetFormatPr defaultRowHeight="14.4" x14ac:dyDescent="0.3"/>
  <cols>
    <col min="3" max="3" width="16.21875" customWidth="1"/>
    <col min="4" max="4" width="5.88671875" customWidth="1"/>
    <col min="5" max="5" width="6.109375" bestFit="1" customWidth="1"/>
    <col min="6" max="6" width="8.21875" bestFit="1" customWidth="1"/>
    <col min="7" max="7" width="5.21875" bestFit="1" customWidth="1"/>
    <col min="8" max="8" width="12.77734375" bestFit="1" customWidth="1"/>
    <col min="9" max="9" width="10.21875" bestFit="1" customWidth="1"/>
    <col min="10" max="10" width="9.77734375" bestFit="1" customWidth="1"/>
    <col min="11" max="11" width="6.33203125" bestFit="1" customWidth="1"/>
    <col min="12" max="12" width="11" bestFit="1" customWidth="1"/>
  </cols>
  <sheetData>
    <row r="1" spans="3:12" x14ac:dyDescent="0.3">
      <c r="H1" t="s">
        <v>71</v>
      </c>
    </row>
    <row r="3" spans="3:12" x14ac:dyDescent="0.3">
      <c r="C3" t="s">
        <v>42</v>
      </c>
    </row>
    <row r="6" spans="3:12" x14ac:dyDescent="0.3"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75</v>
      </c>
      <c r="K6" s="9" t="s">
        <v>76</v>
      </c>
      <c r="L6" s="9" t="s">
        <v>77</v>
      </c>
    </row>
    <row r="7" spans="3:12" x14ac:dyDescent="0.3">
      <c r="C7" s="1">
        <v>301</v>
      </c>
      <c r="D7" s="1" t="s">
        <v>11</v>
      </c>
      <c r="E7" s="1" t="s">
        <v>12</v>
      </c>
      <c r="F7" s="1" t="s">
        <v>13</v>
      </c>
      <c r="G7" s="1">
        <v>2</v>
      </c>
      <c r="H7" s="1">
        <v>45000</v>
      </c>
      <c r="I7" s="1" t="s">
        <v>14</v>
      </c>
      <c r="J7" s="1">
        <f>G7*H7</f>
        <v>90000</v>
      </c>
      <c r="K7" s="2">
        <f>VLOOKUP(C21,C20:F23,3,0)</f>
        <v>0.18</v>
      </c>
      <c r="L7" s="1">
        <f>J7*K7</f>
        <v>16200</v>
      </c>
    </row>
    <row r="8" spans="3:12" x14ac:dyDescent="0.3">
      <c r="C8" s="1">
        <v>302</v>
      </c>
      <c r="D8" s="1" t="s">
        <v>15</v>
      </c>
      <c r="E8" s="1" t="s">
        <v>16</v>
      </c>
      <c r="F8" s="1" t="s">
        <v>17</v>
      </c>
      <c r="G8" s="1">
        <v>5</v>
      </c>
      <c r="H8" s="1">
        <v>15000</v>
      </c>
      <c r="I8" s="1" t="s">
        <v>18</v>
      </c>
      <c r="J8" s="1">
        <f t="shared" ref="J8:J12" si="0">G8*H8</f>
        <v>75000</v>
      </c>
      <c r="K8" s="2">
        <f t="shared" ref="K8:K9" si="1">VLOOKUP(C22,C21:F24,3,0)</f>
        <v>0.12</v>
      </c>
      <c r="L8" s="1">
        <f t="shared" ref="L8:L12" si="2">J8*K8</f>
        <v>9000</v>
      </c>
    </row>
    <row r="9" spans="3:12" x14ac:dyDescent="0.3">
      <c r="C9" s="1">
        <v>303</v>
      </c>
      <c r="D9" s="1" t="s">
        <v>19</v>
      </c>
      <c r="E9" s="1" t="s">
        <v>20</v>
      </c>
      <c r="F9" s="1" t="s">
        <v>21</v>
      </c>
      <c r="G9" s="1">
        <v>3</v>
      </c>
      <c r="H9" s="1">
        <v>18000</v>
      </c>
      <c r="I9" s="1" t="s">
        <v>22</v>
      </c>
      <c r="J9" s="1">
        <f t="shared" si="0"/>
        <v>54000</v>
      </c>
      <c r="K9" s="2">
        <f t="shared" si="1"/>
        <v>0.12</v>
      </c>
      <c r="L9" s="1">
        <f t="shared" si="2"/>
        <v>6480</v>
      </c>
    </row>
    <row r="10" spans="3:12" x14ac:dyDescent="0.3">
      <c r="C10" s="1">
        <v>304</v>
      </c>
      <c r="D10" s="1" t="s">
        <v>23</v>
      </c>
      <c r="E10" s="1" t="s">
        <v>24</v>
      </c>
      <c r="F10" s="1" t="s">
        <v>13</v>
      </c>
      <c r="G10" s="1">
        <v>1</v>
      </c>
      <c r="H10" s="1">
        <v>45000</v>
      </c>
      <c r="I10" s="1" t="s">
        <v>25</v>
      </c>
      <c r="J10" s="1">
        <f t="shared" si="0"/>
        <v>45000</v>
      </c>
      <c r="K10" s="2">
        <f>VLOOKUP(C21,C20:F23,3,0)</f>
        <v>0.18</v>
      </c>
      <c r="L10" s="1">
        <f t="shared" si="2"/>
        <v>8100</v>
      </c>
    </row>
    <row r="11" spans="3:12" x14ac:dyDescent="0.3">
      <c r="C11" s="1">
        <v>305</v>
      </c>
      <c r="D11" s="1" t="s">
        <v>11</v>
      </c>
      <c r="E11" s="1" t="s">
        <v>12</v>
      </c>
      <c r="F11" s="1" t="s">
        <v>17</v>
      </c>
      <c r="G11" s="1">
        <v>4</v>
      </c>
      <c r="H11" s="1">
        <v>15000</v>
      </c>
      <c r="I11" s="1" t="s">
        <v>26</v>
      </c>
      <c r="J11" s="1">
        <f t="shared" si="0"/>
        <v>60000</v>
      </c>
      <c r="K11" s="2">
        <f t="shared" ref="K11:K12" si="3">VLOOKUP(C22,C21:F24,3,0)</f>
        <v>0.12</v>
      </c>
      <c r="L11" s="1">
        <f t="shared" si="2"/>
        <v>7200</v>
      </c>
    </row>
    <row r="12" spans="3:12" x14ac:dyDescent="0.3">
      <c r="C12" s="1">
        <v>306</v>
      </c>
      <c r="D12" s="1" t="s">
        <v>15</v>
      </c>
      <c r="E12" s="1" t="s">
        <v>16</v>
      </c>
      <c r="F12" s="1" t="s">
        <v>13</v>
      </c>
      <c r="G12" s="1">
        <v>2</v>
      </c>
      <c r="H12" s="1">
        <v>45000</v>
      </c>
      <c r="I12" s="1" t="s">
        <v>27</v>
      </c>
      <c r="J12" s="1">
        <f t="shared" si="0"/>
        <v>90000</v>
      </c>
      <c r="K12" s="2">
        <f t="shared" si="3"/>
        <v>0.12</v>
      </c>
      <c r="L12" s="1">
        <f t="shared" si="2"/>
        <v>10800</v>
      </c>
    </row>
    <row r="13" spans="3:12" x14ac:dyDescent="0.3">
      <c r="C13" s="1"/>
      <c r="D13" s="1"/>
      <c r="E13" s="1"/>
      <c r="F13" s="1"/>
      <c r="G13" s="1">
        <f>SUM(G7:G12)</f>
        <v>17</v>
      </c>
      <c r="H13" s="1">
        <f>SUM(H7:H12)</f>
        <v>183000</v>
      </c>
      <c r="I13" s="1"/>
      <c r="J13" s="1">
        <f>SUM(J7:J12)</f>
        <v>414000</v>
      </c>
      <c r="K13" s="1"/>
      <c r="L13" s="1">
        <f>SUM(L7:L12)</f>
        <v>57780</v>
      </c>
    </row>
    <row r="17" spans="3:7" x14ac:dyDescent="0.3">
      <c r="C17" t="s">
        <v>43</v>
      </c>
    </row>
    <row r="20" spans="3:7" x14ac:dyDescent="0.3">
      <c r="C20" s="9" t="s">
        <v>7</v>
      </c>
      <c r="D20" s="9" t="s">
        <v>28</v>
      </c>
      <c r="E20" s="9" t="s">
        <v>29</v>
      </c>
      <c r="F20" s="9" t="s">
        <v>73</v>
      </c>
      <c r="G20" s="9" t="s">
        <v>74</v>
      </c>
    </row>
    <row r="21" spans="3:7" x14ac:dyDescent="0.3">
      <c r="C21" s="1" t="s">
        <v>13</v>
      </c>
      <c r="D21" s="1" t="s">
        <v>30</v>
      </c>
      <c r="E21" s="2">
        <v>0.18</v>
      </c>
      <c r="F21" s="1">
        <v>45000</v>
      </c>
      <c r="G21" s="1">
        <f>VLOOKUP(C21,F6:L12,7,0)</f>
        <v>16200</v>
      </c>
    </row>
    <row r="22" spans="3:7" x14ac:dyDescent="0.3">
      <c r="C22" s="1" t="s">
        <v>17</v>
      </c>
      <c r="D22" s="1" t="s">
        <v>30</v>
      </c>
      <c r="E22" s="2">
        <v>0.12</v>
      </c>
      <c r="F22" s="1">
        <v>15000</v>
      </c>
      <c r="G22" s="1">
        <f t="shared" ref="G22:G23" si="4">VLOOKUP(C22,F7:L13,7,0)</f>
        <v>9000</v>
      </c>
    </row>
    <row r="23" spans="3:7" x14ac:dyDescent="0.3">
      <c r="C23" s="1" t="s">
        <v>21</v>
      </c>
      <c r="D23" s="1" t="s">
        <v>30</v>
      </c>
      <c r="E23" s="2">
        <v>0.12</v>
      </c>
      <c r="F23" s="1">
        <v>18000</v>
      </c>
      <c r="G23" s="1">
        <f t="shared" si="4"/>
        <v>6480</v>
      </c>
    </row>
    <row r="27" spans="3:7" x14ac:dyDescent="0.3">
      <c r="C27" t="s">
        <v>44</v>
      </c>
    </row>
    <row r="29" spans="3:7" x14ac:dyDescent="0.3">
      <c r="C29" s="8" t="s">
        <v>7</v>
      </c>
      <c r="D29" s="8" t="s">
        <v>28</v>
      </c>
      <c r="E29" s="8" t="s">
        <v>29</v>
      </c>
      <c r="F29" s="8" t="s">
        <v>78</v>
      </c>
    </row>
    <row r="30" spans="3:7" x14ac:dyDescent="0.3">
      <c r="C30" s="6" t="s">
        <v>13</v>
      </c>
      <c r="D30" s="6" t="s">
        <v>30</v>
      </c>
      <c r="E30" s="7">
        <v>0.18</v>
      </c>
      <c r="F30" s="6">
        <f>J7+L7</f>
        <v>106200</v>
      </c>
    </row>
    <row r="31" spans="3:7" x14ac:dyDescent="0.3">
      <c r="C31" s="6" t="s">
        <v>17</v>
      </c>
      <c r="D31" s="6" t="s">
        <v>30</v>
      </c>
      <c r="E31" s="7">
        <v>0.12</v>
      </c>
      <c r="F31" s="6">
        <f t="shared" ref="F31:F35" si="5">J8+L8</f>
        <v>84000</v>
      </c>
    </row>
    <row r="32" spans="3:7" x14ac:dyDescent="0.3">
      <c r="C32" s="6" t="s">
        <v>21</v>
      </c>
      <c r="D32" s="6" t="s">
        <v>30</v>
      </c>
      <c r="E32" s="7">
        <v>0.12</v>
      </c>
      <c r="F32" s="6">
        <f t="shared" si="5"/>
        <v>60480</v>
      </c>
    </row>
    <row r="33" spans="3:6" x14ac:dyDescent="0.3">
      <c r="C33" s="6" t="s">
        <v>13</v>
      </c>
      <c r="D33" s="6" t="s">
        <v>30</v>
      </c>
      <c r="E33" s="7">
        <v>0.18</v>
      </c>
      <c r="F33" s="6">
        <f>J10+L10</f>
        <v>53100</v>
      </c>
    </row>
    <row r="34" spans="3:6" x14ac:dyDescent="0.3">
      <c r="C34" s="6" t="s">
        <v>17</v>
      </c>
      <c r="D34" s="6" t="s">
        <v>30</v>
      </c>
      <c r="E34" s="7">
        <v>0.12</v>
      </c>
      <c r="F34" s="6">
        <f t="shared" si="5"/>
        <v>67200</v>
      </c>
    </row>
    <row r="35" spans="3:6" x14ac:dyDescent="0.3">
      <c r="C35" s="6" t="s">
        <v>13</v>
      </c>
      <c r="D35" s="6" t="s">
        <v>30</v>
      </c>
      <c r="E35" s="7">
        <v>0.12</v>
      </c>
      <c r="F35" s="6">
        <f t="shared" si="5"/>
        <v>100800</v>
      </c>
    </row>
    <row r="38" spans="3:6" x14ac:dyDescent="0.3">
      <c r="C38" t="s">
        <v>45</v>
      </c>
    </row>
    <row r="39" spans="3:6" x14ac:dyDescent="0.3">
      <c r="C39" s="1"/>
      <c r="D39" s="1"/>
    </row>
    <row r="40" spans="3:6" x14ac:dyDescent="0.3">
      <c r="C40" s="1"/>
      <c r="D40" s="1"/>
    </row>
    <row r="41" spans="3:6" x14ac:dyDescent="0.3">
      <c r="C41" s="9" t="s">
        <v>7</v>
      </c>
      <c r="D41" s="9" t="s">
        <v>28</v>
      </c>
      <c r="E41" s="9" t="s">
        <v>75</v>
      </c>
      <c r="F41" s="9" t="s">
        <v>78</v>
      </c>
    </row>
    <row r="42" spans="3:6" x14ac:dyDescent="0.3">
      <c r="C42" s="1" t="s">
        <v>13</v>
      </c>
      <c r="D42" s="1" t="s">
        <v>30</v>
      </c>
      <c r="E42" s="1">
        <f>J7</f>
        <v>90000</v>
      </c>
      <c r="F42" s="1">
        <f>F30</f>
        <v>106200</v>
      </c>
    </row>
    <row r="43" spans="3:6" x14ac:dyDescent="0.3">
      <c r="C43" s="1" t="s">
        <v>17</v>
      </c>
      <c r="D43" s="1" t="s">
        <v>30</v>
      </c>
      <c r="E43" s="1">
        <f t="shared" ref="E43:E47" si="6">J8</f>
        <v>75000</v>
      </c>
      <c r="F43" s="1">
        <f t="shared" ref="F43:F47" si="7">F31</f>
        <v>84000</v>
      </c>
    </row>
    <row r="44" spans="3:6" x14ac:dyDescent="0.3">
      <c r="C44" s="1" t="s">
        <v>21</v>
      </c>
      <c r="D44" s="1" t="s">
        <v>30</v>
      </c>
      <c r="E44" s="1">
        <f t="shared" si="6"/>
        <v>54000</v>
      </c>
      <c r="F44" s="1">
        <f t="shared" si="7"/>
        <v>60480</v>
      </c>
    </row>
    <row r="45" spans="3:6" x14ac:dyDescent="0.3">
      <c r="C45" s="1" t="s">
        <v>13</v>
      </c>
      <c r="D45" s="1" t="s">
        <v>30</v>
      </c>
      <c r="E45" s="1">
        <f t="shared" si="6"/>
        <v>45000</v>
      </c>
      <c r="F45" s="1">
        <f t="shared" si="7"/>
        <v>53100</v>
      </c>
    </row>
    <row r="46" spans="3:6" x14ac:dyDescent="0.3">
      <c r="C46" s="1" t="s">
        <v>17</v>
      </c>
      <c r="D46" s="1" t="s">
        <v>30</v>
      </c>
      <c r="E46" s="1">
        <f t="shared" si="6"/>
        <v>60000</v>
      </c>
      <c r="F46" s="1">
        <f t="shared" si="7"/>
        <v>67200</v>
      </c>
    </row>
    <row r="47" spans="3:6" x14ac:dyDescent="0.3">
      <c r="C47" s="1" t="s">
        <v>13</v>
      </c>
      <c r="D47" s="1" t="s">
        <v>30</v>
      </c>
      <c r="E47" s="1">
        <f t="shared" si="6"/>
        <v>90000</v>
      </c>
      <c r="F47" s="1">
        <f t="shared" si="7"/>
        <v>100800</v>
      </c>
    </row>
    <row r="48" spans="3:6" x14ac:dyDescent="0.3">
      <c r="C48" s="1"/>
      <c r="D48" s="1"/>
      <c r="E48" s="1"/>
      <c r="F48" s="1">
        <f>SUM(F42:F47)</f>
        <v>471780</v>
      </c>
    </row>
    <row r="51" spans="3:5" x14ac:dyDescent="0.3">
      <c r="C51" t="s">
        <v>46</v>
      </c>
    </row>
    <row r="53" spans="3:5" x14ac:dyDescent="0.3">
      <c r="C53" s="11">
        <f>COUNTA(C42:C47)</f>
        <v>6</v>
      </c>
      <c r="D53" s="11" t="s">
        <v>79</v>
      </c>
      <c r="E53" s="11"/>
    </row>
    <row r="56" spans="3:5" x14ac:dyDescent="0.3">
      <c r="C56" t="s">
        <v>47</v>
      </c>
    </row>
    <row r="58" spans="3:5" x14ac:dyDescent="0.3">
      <c r="C58" s="9" t="s">
        <v>5</v>
      </c>
      <c r="D58" s="9" t="s">
        <v>75</v>
      </c>
    </row>
    <row r="59" spans="3:5" x14ac:dyDescent="0.3">
      <c r="C59" s="1" t="s">
        <v>11</v>
      </c>
      <c r="D59" s="1">
        <f>SUMIF(D7:D12,D7,J7:J12)</f>
        <v>150000</v>
      </c>
    </row>
    <row r="60" spans="3:5" x14ac:dyDescent="0.3">
      <c r="C60" s="1" t="s">
        <v>15</v>
      </c>
      <c r="D60" s="1">
        <f>SUMIF(D7:D12,C60,J7:J12)</f>
        <v>165000</v>
      </c>
    </row>
    <row r="61" spans="3:5" x14ac:dyDescent="0.3">
      <c r="C61" s="1" t="s">
        <v>19</v>
      </c>
      <c r="D61" s="1">
        <f>SUMIF(C59:C62,C61,J7:J12)</f>
        <v>54000</v>
      </c>
    </row>
    <row r="62" spans="3:5" x14ac:dyDescent="0.3">
      <c r="C62" s="1" t="s">
        <v>23</v>
      </c>
      <c r="D62" s="1">
        <f>SUMIF(C59:C62,C62,J7:J12)</f>
        <v>45000</v>
      </c>
    </row>
    <row r="63" spans="3:5" x14ac:dyDescent="0.3">
      <c r="C63" s="10"/>
    </row>
    <row r="64" spans="3:5" x14ac:dyDescent="0.3">
      <c r="C64" s="1"/>
    </row>
    <row r="66" spans="3:8" x14ac:dyDescent="0.3">
      <c r="C66" t="s">
        <v>48</v>
      </c>
    </row>
    <row r="70" spans="3:8" x14ac:dyDescent="0.3">
      <c r="C70" s="9" t="s">
        <v>4</v>
      </c>
      <c r="D70" s="9" t="s">
        <v>5</v>
      </c>
      <c r="E70" s="9" t="s">
        <v>6</v>
      </c>
      <c r="F70" s="9" t="s">
        <v>7</v>
      </c>
      <c r="G70" s="9" t="s">
        <v>8</v>
      </c>
      <c r="H70" s="9" t="s">
        <v>80</v>
      </c>
    </row>
    <row r="71" spans="3:8" x14ac:dyDescent="0.3">
      <c r="C71" s="1">
        <v>301</v>
      </c>
      <c r="D71" s="1" t="s">
        <v>11</v>
      </c>
      <c r="E71" s="1" t="s">
        <v>12</v>
      </c>
      <c r="F71" s="1" t="s">
        <v>13</v>
      </c>
      <c r="G71" s="1">
        <v>2</v>
      </c>
      <c r="H71" s="1" t="str">
        <f>IF(G71&gt;=3,"High","Low")</f>
        <v>Low</v>
      </c>
    </row>
    <row r="72" spans="3:8" x14ac:dyDescent="0.3">
      <c r="C72" s="1">
        <v>302</v>
      </c>
      <c r="D72" s="1" t="s">
        <v>15</v>
      </c>
      <c r="E72" s="1" t="s">
        <v>16</v>
      </c>
      <c r="F72" s="1" t="s">
        <v>17</v>
      </c>
      <c r="G72" s="1">
        <v>5</v>
      </c>
      <c r="H72" s="1" t="str">
        <f t="shared" ref="H72:H76" si="8">IF(G72&gt;=3,"High","Low")</f>
        <v>High</v>
      </c>
    </row>
    <row r="73" spans="3:8" x14ac:dyDescent="0.3">
      <c r="C73" s="1">
        <v>303</v>
      </c>
      <c r="D73" s="1" t="s">
        <v>19</v>
      </c>
      <c r="E73" s="1" t="s">
        <v>20</v>
      </c>
      <c r="F73" s="1" t="s">
        <v>21</v>
      </c>
      <c r="G73" s="1">
        <v>3</v>
      </c>
      <c r="H73" s="1" t="str">
        <f t="shared" si="8"/>
        <v>High</v>
      </c>
    </row>
    <row r="74" spans="3:8" x14ac:dyDescent="0.3">
      <c r="C74" s="1">
        <v>304</v>
      </c>
      <c r="D74" s="1" t="s">
        <v>23</v>
      </c>
      <c r="E74" s="1" t="s">
        <v>24</v>
      </c>
      <c r="F74" s="1" t="s">
        <v>13</v>
      </c>
      <c r="G74" s="1">
        <v>1</v>
      </c>
      <c r="H74" s="1" t="str">
        <f t="shared" si="8"/>
        <v>Low</v>
      </c>
    </row>
    <row r="75" spans="3:8" x14ac:dyDescent="0.3">
      <c r="C75" s="1">
        <v>305</v>
      </c>
      <c r="D75" s="1" t="s">
        <v>11</v>
      </c>
      <c r="E75" s="1" t="s">
        <v>12</v>
      </c>
      <c r="F75" s="1" t="s">
        <v>17</v>
      </c>
      <c r="G75" s="1">
        <v>4</v>
      </c>
      <c r="H75" s="1" t="str">
        <f t="shared" si="8"/>
        <v>High</v>
      </c>
    </row>
    <row r="76" spans="3:8" x14ac:dyDescent="0.3">
      <c r="C76" s="1">
        <v>306</v>
      </c>
      <c r="D76" s="1" t="s">
        <v>15</v>
      </c>
      <c r="E76" s="1" t="s">
        <v>16</v>
      </c>
      <c r="F76" s="1" t="s">
        <v>13</v>
      </c>
      <c r="G76" s="1">
        <v>2</v>
      </c>
      <c r="H76" s="1" t="str">
        <f t="shared" si="8"/>
        <v>Low</v>
      </c>
    </row>
    <row r="79" spans="3:8" x14ac:dyDescent="0.3">
      <c r="C79" t="s">
        <v>49</v>
      </c>
    </row>
    <row r="82" spans="3:11" x14ac:dyDescent="0.3">
      <c r="C82" s="9" t="s">
        <v>78</v>
      </c>
    </row>
    <row r="83" spans="3:11" x14ac:dyDescent="0.3">
      <c r="C83" s="1">
        <f>F42</f>
        <v>106200</v>
      </c>
    </row>
    <row r="84" spans="3:11" x14ac:dyDescent="0.3">
      <c r="C84" s="1">
        <f t="shared" ref="C84:C88" si="9">F43</f>
        <v>84000</v>
      </c>
      <c r="E84" s="9" t="s">
        <v>81</v>
      </c>
      <c r="F84" s="1">
        <f>MIN(C83:C88)</f>
        <v>53100</v>
      </c>
    </row>
    <row r="85" spans="3:11" x14ac:dyDescent="0.3">
      <c r="C85" s="1">
        <f t="shared" si="9"/>
        <v>60480</v>
      </c>
      <c r="E85" s="9" t="s">
        <v>82</v>
      </c>
      <c r="F85" s="1">
        <f>MAX(C83:C88)</f>
        <v>106200</v>
      </c>
    </row>
    <row r="86" spans="3:11" x14ac:dyDescent="0.3">
      <c r="C86" s="1">
        <f t="shared" si="9"/>
        <v>53100</v>
      </c>
    </row>
    <row r="87" spans="3:11" x14ac:dyDescent="0.3">
      <c r="C87" s="1">
        <f t="shared" si="9"/>
        <v>67200</v>
      </c>
    </row>
    <row r="88" spans="3:11" x14ac:dyDescent="0.3">
      <c r="C88" s="1">
        <f t="shared" si="9"/>
        <v>100800</v>
      </c>
    </row>
    <row r="91" spans="3:11" x14ac:dyDescent="0.3">
      <c r="C91" t="s">
        <v>50</v>
      </c>
    </row>
    <row r="92" spans="3:11" hidden="1" x14ac:dyDescent="0.3"/>
    <row r="95" spans="3:11" x14ac:dyDescent="0.3">
      <c r="C95" s="9" t="s">
        <v>4</v>
      </c>
      <c r="D95" s="9" t="s">
        <v>5</v>
      </c>
      <c r="E95" s="9" t="s">
        <v>6</v>
      </c>
      <c r="F95" s="9" t="s">
        <v>7</v>
      </c>
      <c r="G95" s="9" t="s">
        <v>8</v>
      </c>
      <c r="H95" s="9" t="s">
        <v>9</v>
      </c>
      <c r="I95" s="9" t="s">
        <v>10</v>
      </c>
      <c r="J95" s="9" t="s">
        <v>75</v>
      </c>
      <c r="K95" s="9" t="s">
        <v>86</v>
      </c>
    </row>
    <row r="96" spans="3:11" x14ac:dyDescent="0.3">
      <c r="C96" s="1">
        <v>301</v>
      </c>
      <c r="D96" s="1" t="s">
        <v>11</v>
      </c>
      <c r="E96" s="1" t="s">
        <v>12</v>
      </c>
      <c r="F96" s="1" t="s">
        <v>13</v>
      </c>
      <c r="G96" s="1">
        <v>2</v>
      </c>
      <c r="H96" s="1">
        <v>45000</v>
      </c>
      <c r="I96" s="3" t="s">
        <v>14</v>
      </c>
      <c r="J96" s="1">
        <f>G96*H96</f>
        <v>90000</v>
      </c>
      <c r="K96" s="1" t="str">
        <f>TEXT(I96,"mmm")</f>
        <v>Jan</v>
      </c>
    </row>
    <row r="97" spans="3:11" x14ac:dyDescent="0.3">
      <c r="C97" s="1">
        <v>302</v>
      </c>
      <c r="D97" s="1" t="s">
        <v>15</v>
      </c>
      <c r="E97" s="1" t="s">
        <v>16</v>
      </c>
      <c r="F97" s="1" t="s">
        <v>17</v>
      </c>
      <c r="G97" s="1">
        <v>5</v>
      </c>
      <c r="H97" s="1">
        <v>15000</v>
      </c>
      <c r="I97" s="3" t="s">
        <v>18</v>
      </c>
      <c r="J97" s="1">
        <f t="shared" ref="J97:J101" si="10">G97*H97</f>
        <v>75000</v>
      </c>
      <c r="K97" s="1" t="str">
        <f t="shared" ref="K97:K101" si="11">TEXT(I97,"mmm")</f>
        <v>Jan</v>
      </c>
    </row>
    <row r="98" spans="3:11" x14ac:dyDescent="0.3">
      <c r="C98" s="1">
        <v>303</v>
      </c>
      <c r="D98" s="1" t="s">
        <v>19</v>
      </c>
      <c r="E98" s="1" t="s">
        <v>20</v>
      </c>
      <c r="F98" s="1" t="s">
        <v>21</v>
      </c>
      <c r="G98" s="1">
        <v>3</v>
      </c>
      <c r="H98" s="1">
        <v>18000</v>
      </c>
      <c r="I98" s="3" t="s">
        <v>22</v>
      </c>
      <c r="J98" s="1">
        <f t="shared" si="10"/>
        <v>54000</v>
      </c>
      <c r="K98" s="1" t="str">
        <f t="shared" si="11"/>
        <v>Jan</v>
      </c>
    </row>
    <row r="99" spans="3:11" x14ac:dyDescent="0.3">
      <c r="C99" s="1">
        <v>304</v>
      </c>
      <c r="D99" s="1" t="s">
        <v>23</v>
      </c>
      <c r="E99" s="1" t="s">
        <v>24</v>
      </c>
      <c r="F99" s="1" t="s">
        <v>13</v>
      </c>
      <c r="G99" s="1">
        <v>1</v>
      </c>
      <c r="H99" s="1">
        <v>45000</v>
      </c>
      <c r="I99" s="3" t="s">
        <v>25</v>
      </c>
      <c r="J99" s="1">
        <f t="shared" si="10"/>
        <v>45000</v>
      </c>
      <c r="K99" s="1" t="str">
        <f t="shared" si="11"/>
        <v>Jan</v>
      </c>
    </row>
    <row r="100" spans="3:11" x14ac:dyDescent="0.3">
      <c r="C100" s="1">
        <v>305</v>
      </c>
      <c r="D100" s="1" t="s">
        <v>11</v>
      </c>
      <c r="E100" s="1" t="s">
        <v>12</v>
      </c>
      <c r="F100" s="1" t="s">
        <v>17</v>
      </c>
      <c r="G100" s="1">
        <v>4</v>
      </c>
      <c r="H100" s="1">
        <v>15000</v>
      </c>
      <c r="I100" s="3" t="s">
        <v>26</v>
      </c>
      <c r="J100" s="1">
        <f t="shared" si="10"/>
        <v>60000</v>
      </c>
      <c r="K100" s="1" t="str">
        <f t="shared" si="11"/>
        <v>Jan</v>
      </c>
    </row>
    <row r="101" spans="3:11" x14ac:dyDescent="0.3">
      <c r="C101" s="1">
        <v>306</v>
      </c>
      <c r="D101" s="1" t="s">
        <v>15</v>
      </c>
      <c r="E101" s="1" t="s">
        <v>16</v>
      </c>
      <c r="F101" s="1" t="s">
        <v>13</v>
      </c>
      <c r="G101" s="1">
        <v>2</v>
      </c>
      <c r="H101" s="1">
        <v>45000</v>
      </c>
      <c r="I101" s="3" t="s">
        <v>27</v>
      </c>
      <c r="J101" s="1">
        <f t="shared" si="10"/>
        <v>90000</v>
      </c>
      <c r="K101" s="1" t="str">
        <f t="shared" si="11"/>
        <v>Jan</v>
      </c>
    </row>
    <row r="105" spans="3:11" x14ac:dyDescent="0.3">
      <c r="C105" t="s">
        <v>51</v>
      </c>
    </row>
    <row r="108" spans="3:11" x14ac:dyDescent="0.3">
      <c r="C108" s="9" t="s">
        <v>4</v>
      </c>
      <c r="D108" s="9" t="s">
        <v>5</v>
      </c>
      <c r="E108" s="9" t="s">
        <v>6</v>
      </c>
      <c r="F108" s="9" t="s">
        <v>7</v>
      </c>
      <c r="G108" s="9" t="s">
        <v>8</v>
      </c>
      <c r="H108" s="9" t="s">
        <v>9</v>
      </c>
      <c r="I108" s="9" t="s">
        <v>10</v>
      </c>
      <c r="J108" s="9" t="s">
        <v>75</v>
      </c>
    </row>
    <row r="109" spans="3:11" x14ac:dyDescent="0.3">
      <c r="C109" s="1">
        <v>304</v>
      </c>
      <c r="D109" s="1" t="s">
        <v>23</v>
      </c>
      <c r="E109" s="1" t="s">
        <v>24</v>
      </c>
      <c r="F109" s="1" t="s">
        <v>13</v>
      </c>
      <c r="G109" s="1">
        <v>1</v>
      </c>
      <c r="H109" s="1">
        <v>45000</v>
      </c>
      <c r="I109" s="1" t="s">
        <v>25</v>
      </c>
      <c r="J109" s="1">
        <f t="shared" ref="J109:J114" si="12">G109*H109</f>
        <v>45000</v>
      </c>
    </row>
    <row r="110" spans="3:11" x14ac:dyDescent="0.3">
      <c r="C110" s="1">
        <v>303</v>
      </c>
      <c r="D110" s="1" t="s">
        <v>19</v>
      </c>
      <c r="E110" s="1" t="s">
        <v>20</v>
      </c>
      <c r="F110" s="1" t="s">
        <v>21</v>
      </c>
      <c r="G110" s="1">
        <v>3</v>
      </c>
      <c r="H110" s="1">
        <v>18000</v>
      </c>
      <c r="I110" s="1" t="s">
        <v>22</v>
      </c>
      <c r="J110" s="1">
        <f t="shared" si="12"/>
        <v>54000</v>
      </c>
    </row>
    <row r="111" spans="3:11" x14ac:dyDescent="0.3">
      <c r="C111" s="1">
        <v>305</v>
      </c>
      <c r="D111" s="1" t="s">
        <v>11</v>
      </c>
      <c r="E111" s="1" t="s">
        <v>12</v>
      </c>
      <c r="F111" s="1" t="s">
        <v>17</v>
      </c>
      <c r="G111" s="1">
        <v>4</v>
      </c>
      <c r="H111" s="1">
        <v>15000</v>
      </c>
      <c r="I111" s="1" t="s">
        <v>26</v>
      </c>
      <c r="J111" s="1">
        <f t="shared" si="12"/>
        <v>60000</v>
      </c>
    </row>
    <row r="112" spans="3:11" x14ac:dyDescent="0.3">
      <c r="C112" s="1">
        <v>302</v>
      </c>
      <c r="D112" s="1" t="s">
        <v>15</v>
      </c>
      <c r="E112" s="1" t="s">
        <v>16</v>
      </c>
      <c r="F112" s="1" t="s">
        <v>17</v>
      </c>
      <c r="G112" s="1">
        <v>5</v>
      </c>
      <c r="H112" s="1">
        <v>15000</v>
      </c>
      <c r="I112" s="1" t="s">
        <v>18</v>
      </c>
      <c r="J112" s="1">
        <f t="shared" si="12"/>
        <v>75000</v>
      </c>
    </row>
    <row r="113" spans="3:10" x14ac:dyDescent="0.3">
      <c r="C113" s="1">
        <v>301</v>
      </c>
      <c r="D113" s="1" t="s">
        <v>11</v>
      </c>
      <c r="E113" s="1" t="s">
        <v>12</v>
      </c>
      <c r="F113" s="1" t="s">
        <v>13</v>
      </c>
      <c r="G113" s="1">
        <v>2</v>
      </c>
      <c r="H113" s="1">
        <v>45000</v>
      </c>
      <c r="I113" s="1" t="s">
        <v>14</v>
      </c>
      <c r="J113" s="1">
        <f t="shared" si="12"/>
        <v>90000</v>
      </c>
    </row>
    <row r="114" spans="3:10" x14ac:dyDescent="0.3">
      <c r="C114" s="1">
        <v>306</v>
      </c>
      <c r="D114" s="1" t="s">
        <v>15</v>
      </c>
      <c r="E114" s="1" t="s">
        <v>16</v>
      </c>
      <c r="F114" s="1" t="s">
        <v>13</v>
      </c>
      <c r="G114" s="1">
        <v>2</v>
      </c>
      <c r="H114" s="1">
        <v>45000</v>
      </c>
      <c r="I114" s="1" t="s">
        <v>27</v>
      </c>
      <c r="J114" s="1">
        <f t="shared" si="12"/>
        <v>90000</v>
      </c>
    </row>
    <row r="115" spans="3:10" x14ac:dyDescent="0.3">
      <c r="C115" s="1"/>
      <c r="D115" s="1"/>
      <c r="E115" s="1"/>
      <c r="F115" s="1"/>
      <c r="G115" s="1">
        <f>SUM(G109:G114)</f>
        <v>17</v>
      </c>
      <c r="H115" s="1">
        <f>SUM(H109:H114)</f>
        <v>183000</v>
      </c>
      <c r="I115" s="1"/>
      <c r="J115" s="1">
        <f>SUM(J109:J114)</f>
        <v>414000</v>
      </c>
    </row>
    <row r="118" spans="3:10" x14ac:dyDescent="0.3">
      <c r="C118" t="s">
        <v>53</v>
      </c>
    </row>
    <row r="121" spans="3:10" x14ac:dyDescent="0.3">
      <c r="C121" s="9" t="s">
        <v>31</v>
      </c>
      <c r="D121" s="9" t="s">
        <v>32</v>
      </c>
      <c r="E121" s="9" t="s">
        <v>33</v>
      </c>
      <c r="F121" s="9" t="s">
        <v>34</v>
      </c>
      <c r="G121" s="9" t="s">
        <v>35</v>
      </c>
      <c r="H121" s="9" t="s">
        <v>36</v>
      </c>
      <c r="I121" s="9" t="s">
        <v>87</v>
      </c>
    </row>
    <row r="122" spans="3:10" x14ac:dyDescent="0.3">
      <c r="C122" s="1">
        <v>1</v>
      </c>
      <c r="D122" s="1" t="s">
        <v>37</v>
      </c>
      <c r="E122" s="1">
        <v>78</v>
      </c>
      <c r="F122" s="1">
        <v>82</v>
      </c>
      <c r="G122" s="1">
        <v>85</v>
      </c>
      <c r="H122" s="1">
        <v>92</v>
      </c>
      <c r="I122" s="12">
        <f>AVERAGE(E122:G122)</f>
        <v>81.666666666666671</v>
      </c>
    </row>
    <row r="123" spans="3:10" x14ac:dyDescent="0.3">
      <c r="C123" s="1">
        <v>2</v>
      </c>
      <c r="D123" s="1" t="s">
        <v>38</v>
      </c>
      <c r="E123" s="1">
        <v>88</v>
      </c>
      <c r="F123" s="1">
        <v>91</v>
      </c>
      <c r="G123" s="1">
        <v>90</v>
      </c>
      <c r="H123" s="1">
        <v>96</v>
      </c>
      <c r="I123" s="12">
        <f t="shared" ref="I123:I126" si="13">AVERAGE(E123:G123)</f>
        <v>89.666666666666671</v>
      </c>
    </row>
    <row r="124" spans="3:10" x14ac:dyDescent="0.3">
      <c r="C124" s="1">
        <v>3</v>
      </c>
      <c r="D124" s="1" t="s">
        <v>39</v>
      </c>
      <c r="E124" s="1">
        <v>65</v>
      </c>
      <c r="F124" s="1">
        <v>70</v>
      </c>
      <c r="G124" s="1">
        <v>72</v>
      </c>
      <c r="H124" s="1">
        <v>85</v>
      </c>
      <c r="I124" s="12">
        <f t="shared" si="13"/>
        <v>69</v>
      </c>
    </row>
    <row r="125" spans="3:10" x14ac:dyDescent="0.3">
      <c r="C125" s="1">
        <v>4</v>
      </c>
      <c r="D125" s="1" t="s">
        <v>40</v>
      </c>
      <c r="E125" s="1">
        <v>92</v>
      </c>
      <c r="F125" s="1">
        <v>89</v>
      </c>
      <c r="G125" s="1">
        <v>94</v>
      </c>
      <c r="H125" s="1">
        <v>98</v>
      </c>
      <c r="I125" s="12">
        <f t="shared" si="13"/>
        <v>91.666666666666671</v>
      </c>
    </row>
    <row r="126" spans="3:10" x14ac:dyDescent="0.3">
      <c r="C126" s="1">
        <v>5</v>
      </c>
      <c r="D126" s="1" t="s">
        <v>41</v>
      </c>
      <c r="E126" s="1">
        <v>55</v>
      </c>
      <c r="F126" s="1">
        <v>60</v>
      </c>
      <c r="G126" s="1">
        <v>58</v>
      </c>
      <c r="H126" s="1">
        <v>80</v>
      </c>
      <c r="I126" s="12">
        <f t="shared" si="13"/>
        <v>57.666666666666664</v>
      </c>
    </row>
    <row r="129" spans="3:11" x14ac:dyDescent="0.3">
      <c r="C129" t="s">
        <v>54</v>
      </c>
    </row>
    <row r="132" spans="3:11" x14ac:dyDescent="0.3">
      <c r="C132" s="9" t="s">
        <v>31</v>
      </c>
      <c r="D132" s="9" t="s">
        <v>32</v>
      </c>
      <c r="E132" s="9" t="s">
        <v>33</v>
      </c>
      <c r="F132" s="9" t="s">
        <v>34</v>
      </c>
      <c r="G132" s="9" t="s">
        <v>35</v>
      </c>
      <c r="H132" s="9" t="s">
        <v>36</v>
      </c>
      <c r="I132" s="9" t="s">
        <v>87</v>
      </c>
      <c r="J132" s="1"/>
      <c r="K132" s="1"/>
    </row>
    <row r="133" spans="3:11" x14ac:dyDescent="0.3">
      <c r="C133" s="1">
        <v>1</v>
      </c>
      <c r="D133" s="1" t="s">
        <v>37</v>
      </c>
      <c r="E133" s="1">
        <v>78</v>
      </c>
      <c r="F133" s="1">
        <v>82</v>
      </c>
      <c r="G133" s="1">
        <v>85</v>
      </c>
      <c r="H133" s="1">
        <v>92</v>
      </c>
      <c r="I133" s="12">
        <f>AVERAGE(E133:G133)</f>
        <v>81.666666666666671</v>
      </c>
      <c r="J133" s="1"/>
      <c r="K133" s="1"/>
    </row>
    <row r="134" spans="3:11" x14ac:dyDescent="0.3">
      <c r="C134" s="1">
        <v>2</v>
      </c>
      <c r="D134" s="1" t="s">
        <v>38</v>
      </c>
      <c r="E134" s="1">
        <v>88</v>
      </c>
      <c r="F134" s="1">
        <v>91</v>
      </c>
      <c r="G134" s="1">
        <v>90</v>
      </c>
      <c r="H134" s="1">
        <v>96</v>
      </c>
      <c r="I134" s="12">
        <f t="shared" ref="I134:I137" si="14">AVERAGE(E134:G134)</f>
        <v>89.666666666666671</v>
      </c>
      <c r="J134" s="9" t="s">
        <v>88</v>
      </c>
      <c r="K134" s="12">
        <f>MAX(I133:I137)</f>
        <v>91.666666666666671</v>
      </c>
    </row>
    <row r="135" spans="3:11" x14ac:dyDescent="0.3">
      <c r="C135" s="1">
        <v>3</v>
      </c>
      <c r="D135" s="1" t="s">
        <v>39</v>
      </c>
      <c r="E135" s="1">
        <v>65</v>
      </c>
      <c r="F135" s="1">
        <v>70</v>
      </c>
      <c r="G135" s="1">
        <v>72</v>
      </c>
      <c r="H135" s="1">
        <v>85</v>
      </c>
      <c r="I135" s="12">
        <f t="shared" si="14"/>
        <v>69</v>
      </c>
      <c r="J135" s="1"/>
      <c r="K135" s="1"/>
    </row>
    <row r="136" spans="3:11" x14ac:dyDescent="0.3">
      <c r="C136" s="1">
        <v>4</v>
      </c>
      <c r="D136" s="1" t="s">
        <v>40</v>
      </c>
      <c r="E136" s="1">
        <v>92</v>
      </c>
      <c r="F136" s="1">
        <v>89</v>
      </c>
      <c r="G136" s="1">
        <v>94</v>
      </c>
      <c r="H136" s="1">
        <v>98</v>
      </c>
      <c r="I136" s="12">
        <f t="shared" si="14"/>
        <v>91.666666666666671</v>
      </c>
      <c r="J136" s="1"/>
      <c r="K136" s="1"/>
    </row>
    <row r="137" spans="3:11" x14ac:dyDescent="0.3">
      <c r="C137" s="1">
        <v>5</v>
      </c>
      <c r="D137" s="1" t="s">
        <v>41</v>
      </c>
      <c r="E137" s="1">
        <v>55</v>
      </c>
      <c r="F137" s="1">
        <v>60</v>
      </c>
      <c r="G137" s="1">
        <v>58</v>
      </c>
      <c r="H137" s="1">
        <v>80</v>
      </c>
      <c r="I137" s="12">
        <f t="shared" si="14"/>
        <v>57.666666666666664</v>
      </c>
      <c r="J137" s="1"/>
      <c r="K137" s="1"/>
    </row>
    <row r="140" spans="3:11" x14ac:dyDescent="0.3">
      <c r="C140" t="s">
        <v>55</v>
      </c>
    </row>
    <row r="143" spans="3:11" x14ac:dyDescent="0.3">
      <c r="C143" s="9" t="s">
        <v>31</v>
      </c>
      <c r="D143" s="9" t="s">
        <v>32</v>
      </c>
      <c r="E143" s="9" t="s">
        <v>33</v>
      </c>
      <c r="F143" s="9" t="s">
        <v>34</v>
      </c>
      <c r="G143" s="9" t="s">
        <v>35</v>
      </c>
      <c r="H143" s="9" t="s">
        <v>36</v>
      </c>
      <c r="I143" s="9"/>
      <c r="J143" s="1"/>
      <c r="K143" s="1"/>
    </row>
    <row r="144" spans="3:11" x14ac:dyDescent="0.3">
      <c r="C144" s="1">
        <v>1</v>
      </c>
      <c r="D144" s="1" t="s">
        <v>37</v>
      </c>
      <c r="E144" s="1">
        <v>78</v>
      </c>
      <c r="F144" s="1">
        <v>82</v>
      </c>
      <c r="G144" s="1">
        <v>85</v>
      </c>
      <c r="H144" s="1">
        <v>92</v>
      </c>
      <c r="I144" s="1"/>
      <c r="J144" s="1"/>
      <c r="K144" s="1"/>
    </row>
    <row r="145" spans="3:11" x14ac:dyDescent="0.3">
      <c r="C145" s="1">
        <v>2</v>
      </c>
      <c r="D145" s="1" t="s">
        <v>38</v>
      </c>
      <c r="E145" s="1">
        <v>88</v>
      </c>
      <c r="F145" s="1">
        <v>91</v>
      </c>
      <c r="G145" s="1">
        <v>90</v>
      </c>
      <c r="H145" s="1">
        <v>96</v>
      </c>
      <c r="I145" s="1"/>
      <c r="J145" s="1"/>
      <c r="K145" s="1"/>
    </row>
    <row r="146" spans="3:11" x14ac:dyDescent="0.3">
      <c r="C146" s="1">
        <v>3</v>
      </c>
      <c r="D146" s="1" t="s">
        <v>39</v>
      </c>
      <c r="E146" s="1">
        <v>65</v>
      </c>
      <c r="F146" s="1">
        <v>70</v>
      </c>
      <c r="G146" s="1">
        <v>72</v>
      </c>
      <c r="H146" s="1">
        <v>85</v>
      </c>
      <c r="I146" s="15" t="s">
        <v>89</v>
      </c>
      <c r="J146" s="15"/>
      <c r="K146" s="1">
        <f>COUNTIF(H144:H148,"&gt;90")</f>
        <v>3</v>
      </c>
    </row>
    <row r="147" spans="3:11" x14ac:dyDescent="0.3">
      <c r="C147" s="1">
        <v>4</v>
      </c>
      <c r="D147" s="1" t="s">
        <v>40</v>
      </c>
      <c r="E147" s="1">
        <v>92</v>
      </c>
      <c r="F147" s="1">
        <v>89</v>
      </c>
      <c r="G147" s="1">
        <v>94</v>
      </c>
      <c r="H147" s="1">
        <v>98</v>
      </c>
      <c r="I147" s="1"/>
      <c r="J147" s="1"/>
      <c r="K147" s="1"/>
    </row>
    <row r="148" spans="3:11" x14ac:dyDescent="0.3">
      <c r="C148" s="1">
        <v>5</v>
      </c>
      <c r="D148" s="1" t="s">
        <v>41</v>
      </c>
      <c r="E148" s="1">
        <v>55</v>
      </c>
      <c r="F148" s="1">
        <v>60</v>
      </c>
      <c r="G148" s="1">
        <v>58</v>
      </c>
      <c r="H148" s="1">
        <v>80</v>
      </c>
      <c r="I148" s="1"/>
      <c r="J148" s="1"/>
      <c r="K148" s="1"/>
    </row>
    <row r="151" spans="3:11" x14ac:dyDescent="0.3">
      <c r="C151" t="s">
        <v>56</v>
      </c>
    </row>
    <row r="154" spans="3:11" x14ac:dyDescent="0.3">
      <c r="C154" s="9" t="s">
        <v>31</v>
      </c>
      <c r="D154" s="9" t="s">
        <v>32</v>
      </c>
      <c r="E154" s="9" t="s">
        <v>33</v>
      </c>
      <c r="F154" s="9" t="s">
        <v>34</v>
      </c>
      <c r="G154" s="9" t="s">
        <v>35</v>
      </c>
      <c r="H154" s="9" t="s">
        <v>36</v>
      </c>
      <c r="I154" s="9" t="s">
        <v>90</v>
      </c>
    </row>
    <row r="155" spans="3:11" x14ac:dyDescent="0.3">
      <c r="C155" s="1">
        <v>1</v>
      </c>
      <c r="D155" s="1" t="s">
        <v>37</v>
      </c>
      <c r="E155" s="1">
        <v>78</v>
      </c>
      <c r="F155" s="1">
        <v>82</v>
      </c>
      <c r="G155" s="1">
        <v>85</v>
      </c>
      <c r="H155" s="1">
        <v>92</v>
      </c>
      <c r="I155" s="1" t="str">
        <f>IF(H155&gt;=90,"Eligible","Not Eligible")</f>
        <v>Eligible</v>
      </c>
    </row>
    <row r="156" spans="3:11" x14ac:dyDescent="0.3">
      <c r="C156" s="1">
        <v>2</v>
      </c>
      <c r="D156" s="1" t="s">
        <v>38</v>
      </c>
      <c r="E156" s="1">
        <v>88</v>
      </c>
      <c r="F156" s="1">
        <v>91</v>
      </c>
      <c r="G156" s="1">
        <v>90</v>
      </c>
      <c r="H156" s="1">
        <v>96</v>
      </c>
      <c r="I156" s="1" t="str">
        <f t="shared" ref="I156:I159" si="15">IF(H156&gt;=90,"Eligible","Not Eligible")</f>
        <v>Eligible</v>
      </c>
    </row>
    <row r="157" spans="3:11" x14ac:dyDescent="0.3">
      <c r="C157" s="1">
        <v>3</v>
      </c>
      <c r="D157" s="1" t="s">
        <v>39</v>
      </c>
      <c r="E157" s="1">
        <v>65</v>
      </c>
      <c r="F157" s="1">
        <v>70</v>
      </c>
      <c r="G157" s="1">
        <v>72</v>
      </c>
      <c r="H157" s="1">
        <v>85</v>
      </c>
      <c r="I157" s="1" t="str">
        <f t="shared" si="15"/>
        <v>Not Eligible</v>
      </c>
    </row>
    <row r="158" spans="3:11" x14ac:dyDescent="0.3">
      <c r="C158" s="1">
        <v>4</v>
      </c>
      <c r="D158" s="1" t="s">
        <v>40</v>
      </c>
      <c r="E158" s="1">
        <v>92</v>
      </c>
      <c r="F158" s="1">
        <v>89</v>
      </c>
      <c r="G158" s="1">
        <v>94</v>
      </c>
      <c r="H158" s="1">
        <v>98</v>
      </c>
      <c r="I158" s="1" t="str">
        <f t="shared" si="15"/>
        <v>Eligible</v>
      </c>
    </row>
    <row r="159" spans="3:11" x14ac:dyDescent="0.3">
      <c r="C159" s="1">
        <v>5</v>
      </c>
      <c r="D159" s="1" t="s">
        <v>41</v>
      </c>
      <c r="E159" s="1">
        <v>55</v>
      </c>
      <c r="F159" s="1">
        <v>60</v>
      </c>
      <c r="G159" s="1">
        <v>58</v>
      </c>
      <c r="H159" s="1">
        <v>80</v>
      </c>
      <c r="I159" s="1" t="str">
        <f t="shared" si="15"/>
        <v>Not Eligible</v>
      </c>
    </row>
    <row r="162" spans="3:4" x14ac:dyDescent="0.3">
      <c r="C162" t="s">
        <v>57</v>
      </c>
    </row>
    <row r="165" spans="3:4" x14ac:dyDescent="0.3">
      <c r="C165" s="4" t="s">
        <v>83</v>
      </c>
      <c r="D165" t="s">
        <v>85</v>
      </c>
    </row>
    <row r="166" spans="3:4" x14ac:dyDescent="0.3">
      <c r="C166" s="5" t="s">
        <v>13</v>
      </c>
      <c r="D166">
        <v>225000</v>
      </c>
    </row>
    <row r="167" spans="3:4" x14ac:dyDescent="0.3">
      <c r="C167" s="5" t="s">
        <v>17</v>
      </c>
      <c r="D167">
        <v>135000</v>
      </c>
    </row>
    <row r="168" spans="3:4" x14ac:dyDescent="0.3">
      <c r="C168" s="5" t="s">
        <v>21</v>
      </c>
      <c r="D168">
        <v>54000</v>
      </c>
    </row>
    <row r="169" spans="3:4" x14ac:dyDescent="0.3">
      <c r="C169" s="5" t="s">
        <v>91</v>
      </c>
      <c r="D169">
        <v>414000</v>
      </c>
    </row>
    <row r="170" spans="3:4" x14ac:dyDescent="0.3">
      <c r="C170" s="5" t="s">
        <v>84</v>
      </c>
      <c r="D170">
        <v>828000</v>
      </c>
    </row>
    <row r="173" spans="3:4" x14ac:dyDescent="0.3">
      <c r="C173" t="s">
        <v>58</v>
      </c>
    </row>
    <row r="175" spans="3:4" x14ac:dyDescent="0.3">
      <c r="C175" s="4" t="s">
        <v>83</v>
      </c>
      <c r="D175" t="s">
        <v>85</v>
      </c>
    </row>
    <row r="176" spans="3:4" x14ac:dyDescent="0.3">
      <c r="C176" s="5" t="s">
        <v>19</v>
      </c>
      <c r="D176">
        <v>54000</v>
      </c>
    </row>
    <row r="177" spans="3:4" x14ac:dyDescent="0.3">
      <c r="C177" s="5" t="s">
        <v>11</v>
      </c>
      <c r="D177">
        <v>150000</v>
      </c>
    </row>
    <row r="178" spans="3:4" x14ac:dyDescent="0.3">
      <c r="C178" s="5" t="s">
        <v>15</v>
      </c>
      <c r="D178">
        <v>165000</v>
      </c>
    </row>
    <row r="179" spans="3:4" x14ac:dyDescent="0.3">
      <c r="C179" s="5" t="s">
        <v>23</v>
      </c>
      <c r="D179">
        <v>45000</v>
      </c>
    </row>
    <row r="180" spans="3:4" x14ac:dyDescent="0.3">
      <c r="C180" s="5" t="s">
        <v>91</v>
      </c>
      <c r="D180">
        <v>414000</v>
      </c>
    </row>
    <row r="181" spans="3:4" x14ac:dyDescent="0.3">
      <c r="C181" s="5" t="s">
        <v>84</v>
      </c>
      <c r="D181">
        <v>828000</v>
      </c>
    </row>
    <row r="184" spans="3:4" x14ac:dyDescent="0.3">
      <c r="C184" t="s">
        <v>59</v>
      </c>
    </row>
    <row r="201" spans="3:3" x14ac:dyDescent="0.3">
      <c r="C201" t="s">
        <v>60</v>
      </c>
    </row>
    <row r="218" spans="3:10" x14ac:dyDescent="0.3">
      <c r="C218" t="s">
        <v>61</v>
      </c>
    </row>
    <row r="220" spans="3:10" x14ac:dyDescent="0.3">
      <c r="C220" s="9" t="s">
        <v>31</v>
      </c>
      <c r="D220" s="9" t="s">
        <v>32</v>
      </c>
      <c r="E220" s="9" t="s">
        <v>33</v>
      </c>
      <c r="F220" s="9" t="s">
        <v>34</v>
      </c>
      <c r="G220" s="9" t="s">
        <v>35</v>
      </c>
      <c r="H220" s="9" t="s">
        <v>36</v>
      </c>
    </row>
    <row r="221" spans="3:10" x14ac:dyDescent="0.3">
      <c r="C221" s="1">
        <v>1</v>
      </c>
      <c r="D221" s="1" t="s">
        <v>37</v>
      </c>
      <c r="E221" s="1">
        <v>78</v>
      </c>
      <c r="F221" s="1">
        <v>82</v>
      </c>
      <c r="G221" s="1">
        <v>85</v>
      </c>
      <c r="H221" s="1">
        <v>92</v>
      </c>
    </row>
    <row r="222" spans="3:10" x14ac:dyDescent="0.3">
      <c r="C222" s="1">
        <v>2</v>
      </c>
      <c r="D222" s="1" t="s">
        <v>38</v>
      </c>
      <c r="E222" s="1">
        <v>88</v>
      </c>
      <c r="F222" s="1">
        <v>91</v>
      </c>
      <c r="G222" s="1">
        <v>90</v>
      </c>
      <c r="H222" s="1">
        <v>96</v>
      </c>
      <c r="J222">
        <f>MEDIAN(F221:F225)</f>
        <v>82</v>
      </c>
    </row>
    <row r="223" spans="3:10" x14ac:dyDescent="0.3">
      <c r="C223" s="1">
        <v>3</v>
      </c>
      <c r="D223" s="1" t="s">
        <v>39</v>
      </c>
      <c r="E223" s="1">
        <v>65</v>
      </c>
      <c r="F223" s="1">
        <v>70</v>
      </c>
      <c r="G223" s="1">
        <v>72</v>
      </c>
      <c r="H223" s="1">
        <v>85</v>
      </c>
    </row>
    <row r="224" spans="3:10" x14ac:dyDescent="0.3">
      <c r="C224" s="1">
        <v>4</v>
      </c>
      <c r="D224" s="1" t="s">
        <v>40</v>
      </c>
      <c r="E224" s="1">
        <v>92</v>
      </c>
      <c r="F224" s="1">
        <v>89</v>
      </c>
      <c r="G224" s="1">
        <v>94</v>
      </c>
      <c r="H224" s="1">
        <v>98</v>
      </c>
    </row>
    <row r="225" spans="3:8" x14ac:dyDescent="0.3">
      <c r="C225" s="1">
        <v>5</v>
      </c>
      <c r="D225" s="1" t="s">
        <v>41</v>
      </c>
      <c r="E225" s="1">
        <v>55</v>
      </c>
      <c r="F225" s="1">
        <v>60</v>
      </c>
      <c r="G225" s="1">
        <v>58</v>
      </c>
      <c r="H225" s="1">
        <v>80</v>
      </c>
    </row>
    <row r="228" spans="3:8" x14ac:dyDescent="0.3">
      <c r="C228" t="s">
        <v>62</v>
      </c>
    </row>
    <row r="230" spans="3:8" x14ac:dyDescent="0.3">
      <c r="C230" s="9" t="s">
        <v>31</v>
      </c>
      <c r="D230" s="9" t="s">
        <v>32</v>
      </c>
      <c r="E230" s="9" t="s">
        <v>33</v>
      </c>
      <c r="F230" s="9" t="s">
        <v>34</v>
      </c>
      <c r="G230" s="9" t="s">
        <v>35</v>
      </c>
      <c r="H230" s="9" t="s">
        <v>36</v>
      </c>
    </row>
    <row r="231" spans="3:8" x14ac:dyDescent="0.3">
      <c r="C231" s="1">
        <v>1</v>
      </c>
      <c r="D231" s="1" t="s">
        <v>37</v>
      </c>
      <c r="E231" s="1">
        <v>78</v>
      </c>
      <c r="F231" s="1">
        <v>82</v>
      </c>
      <c r="G231" s="1">
        <v>85</v>
      </c>
      <c r="H231" s="1">
        <v>92</v>
      </c>
    </row>
    <row r="232" spans="3:8" x14ac:dyDescent="0.3">
      <c r="C232" s="1">
        <v>2</v>
      </c>
      <c r="D232" s="1" t="s">
        <v>38</v>
      </c>
      <c r="E232" s="1">
        <v>88</v>
      </c>
      <c r="F232" s="1">
        <v>91</v>
      </c>
      <c r="G232" s="1">
        <v>90</v>
      </c>
      <c r="H232" s="1">
        <v>96</v>
      </c>
    </row>
    <row r="233" spans="3:8" x14ac:dyDescent="0.3">
      <c r="C233" s="1">
        <v>3</v>
      </c>
      <c r="D233" s="1" t="s">
        <v>39</v>
      </c>
      <c r="E233" s="1">
        <v>65</v>
      </c>
      <c r="F233" s="1">
        <v>70</v>
      </c>
      <c r="G233" s="1">
        <v>72</v>
      </c>
      <c r="H233" s="1">
        <v>85</v>
      </c>
    </row>
    <row r="234" spans="3:8" x14ac:dyDescent="0.3">
      <c r="C234" s="1">
        <v>4</v>
      </c>
      <c r="D234" s="1" t="s">
        <v>40</v>
      </c>
      <c r="E234" s="1">
        <v>92</v>
      </c>
      <c r="F234" s="1">
        <v>89</v>
      </c>
      <c r="G234" s="1">
        <v>94</v>
      </c>
      <c r="H234" s="1">
        <v>98</v>
      </c>
    </row>
    <row r="235" spans="3:8" x14ac:dyDescent="0.3">
      <c r="C235" s="1">
        <v>5</v>
      </c>
      <c r="D235" s="1" t="s">
        <v>41</v>
      </c>
      <c r="E235" s="1">
        <v>55</v>
      </c>
      <c r="F235" s="1">
        <v>60</v>
      </c>
      <c r="G235" s="1">
        <v>58</v>
      </c>
      <c r="H235" s="1">
        <v>80</v>
      </c>
    </row>
    <row r="237" spans="3:8" x14ac:dyDescent="0.3">
      <c r="C237" s="13" t="s">
        <v>93</v>
      </c>
      <c r="D237" s="13">
        <f>STDEV(G231:G235)</f>
        <v>14.737706741552426</v>
      </c>
    </row>
    <row r="240" spans="3:8" x14ac:dyDescent="0.3">
      <c r="C240" t="s">
        <v>63</v>
      </c>
    </row>
    <row r="243" spans="3:11" x14ac:dyDescent="0.3">
      <c r="C243" s="9" t="s">
        <v>31</v>
      </c>
      <c r="D243" s="9" t="s">
        <v>32</v>
      </c>
      <c r="E243" s="9" t="s">
        <v>33</v>
      </c>
      <c r="F243" s="9" t="s">
        <v>34</v>
      </c>
      <c r="G243" s="9" t="s">
        <v>35</v>
      </c>
      <c r="H243" s="9" t="s">
        <v>36</v>
      </c>
      <c r="I243" s="9" t="s">
        <v>94</v>
      </c>
    </row>
    <row r="244" spans="3:11" x14ac:dyDescent="0.3">
      <c r="C244" s="1">
        <v>1</v>
      </c>
      <c r="D244" s="1" t="s">
        <v>37</v>
      </c>
      <c r="E244" s="1">
        <v>78</v>
      </c>
      <c r="F244" s="1">
        <v>82</v>
      </c>
      <c r="G244" s="1">
        <v>85</v>
      </c>
      <c r="H244" s="1">
        <v>92</v>
      </c>
      <c r="I244" s="1" t="str">
        <f>_xlfn.CONCAT(C244,D244)</f>
        <v>1Rahul</v>
      </c>
    </row>
    <row r="245" spans="3:11" x14ac:dyDescent="0.3">
      <c r="C245" s="1">
        <v>2</v>
      </c>
      <c r="D245" s="1" t="s">
        <v>38</v>
      </c>
      <c r="E245" s="1">
        <v>88</v>
      </c>
      <c r="F245" s="1">
        <v>91</v>
      </c>
      <c r="G245" s="1">
        <v>90</v>
      </c>
      <c r="H245" s="1">
        <v>96</v>
      </c>
      <c r="I245" s="1" t="str">
        <f>_xlfn.CONCAT(C245,D245)</f>
        <v>2Sneha</v>
      </c>
    </row>
    <row r="246" spans="3:11" x14ac:dyDescent="0.3">
      <c r="C246" s="1">
        <v>3</v>
      </c>
      <c r="D246" s="1" t="s">
        <v>39</v>
      </c>
      <c r="E246" s="1">
        <v>65</v>
      </c>
      <c r="F246" s="1">
        <v>70</v>
      </c>
      <c r="G246" s="1">
        <v>72</v>
      </c>
      <c r="H246" s="1">
        <v>85</v>
      </c>
      <c r="I246" s="1" t="str">
        <f>_xlfn.CONCAT(C246,D246)</f>
        <v>3Arjun</v>
      </c>
    </row>
    <row r="247" spans="3:11" x14ac:dyDescent="0.3">
      <c r="C247" s="1">
        <v>4</v>
      </c>
      <c r="D247" s="1" t="s">
        <v>40</v>
      </c>
      <c r="E247" s="1">
        <v>92</v>
      </c>
      <c r="F247" s="1">
        <v>89</v>
      </c>
      <c r="G247" s="1">
        <v>94</v>
      </c>
      <c r="H247" s="1">
        <v>98</v>
      </c>
      <c r="I247" s="1" t="str">
        <f>_xlfn.CONCAT(C247,D247)</f>
        <v>4Pooja</v>
      </c>
    </row>
    <row r="248" spans="3:11" x14ac:dyDescent="0.3">
      <c r="C248" s="1">
        <v>5</v>
      </c>
      <c r="D248" s="1" t="s">
        <v>41</v>
      </c>
      <c r="E248" s="1">
        <v>55</v>
      </c>
      <c r="F248" s="1">
        <v>60</v>
      </c>
      <c r="G248" s="1">
        <v>58</v>
      </c>
      <c r="H248" s="1">
        <v>80</v>
      </c>
      <c r="I248" s="1" t="str">
        <f>_xlfn.CONCAT(C248,D248)</f>
        <v>5Vikas</v>
      </c>
    </row>
    <row r="251" spans="3:11" x14ac:dyDescent="0.3">
      <c r="C251" t="s">
        <v>64</v>
      </c>
    </row>
    <row r="254" spans="3:11" x14ac:dyDescent="0.3">
      <c r="C254" s="9" t="s">
        <v>4</v>
      </c>
      <c r="D254" s="9" t="s">
        <v>5</v>
      </c>
      <c r="E254" s="9" t="s">
        <v>6</v>
      </c>
      <c r="F254" s="9" t="s">
        <v>7</v>
      </c>
      <c r="G254" s="9" t="s">
        <v>8</v>
      </c>
      <c r="H254" s="9" t="s">
        <v>9</v>
      </c>
      <c r="I254" s="9" t="s">
        <v>10</v>
      </c>
      <c r="J254" s="9" t="s">
        <v>75</v>
      </c>
      <c r="K254" s="9" t="s">
        <v>86</v>
      </c>
    </row>
    <row r="255" spans="3:11" x14ac:dyDescent="0.3">
      <c r="C255" s="1">
        <v>301</v>
      </c>
      <c r="D255" s="1" t="s">
        <v>11</v>
      </c>
      <c r="E255" s="1" t="s">
        <v>12</v>
      </c>
      <c r="F255" s="1" t="s">
        <v>13</v>
      </c>
      <c r="G255" s="1">
        <v>2</v>
      </c>
      <c r="H255" s="1">
        <v>45000</v>
      </c>
      <c r="I255" s="3" t="s">
        <v>14</v>
      </c>
      <c r="J255" s="1">
        <f>G255*H255</f>
        <v>90000</v>
      </c>
      <c r="K255" s="1" t="str">
        <f>TEXT(I255,"mmm")</f>
        <v>Jan</v>
      </c>
    </row>
    <row r="256" spans="3:11" x14ac:dyDescent="0.3">
      <c r="C256" s="1">
        <v>302</v>
      </c>
      <c r="D256" s="1" t="s">
        <v>15</v>
      </c>
      <c r="E256" s="1" t="s">
        <v>16</v>
      </c>
      <c r="F256" s="1" t="s">
        <v>17</v>
      </c>
      <c r="G256" s="1">
        <v>5</v>
      </c>
      <c r="H256" s="1">
        <v>15000</v>
      </c>
      <c r="I256" s="3" t="s">
        <v>18</v>
      </c>
      <c r="J256" s="1">
        <f t="shared" ref="J256:J260" si="16">G256*H256</f>
        <v>75000</v>
      </c>
      <c r="K256" s="1" t="str">
        <f t="shared" ref="K256:K260" si="17">TEXT(I256,"mmm")</f>
        <v>Jan</v>
      </c>
    </row>
    <row r="257" spans="3:11" x14ac:dyDescent="0.3">
      <c r="C257" s="1">
        <v>303</v>
      </c>
      <c r="D257" s="1" t="s">
        <v>19</v>
      </c>
      <c r="E257" s="1" t="s">
        <v>20</v>
      </c>
      <c r="F257" s="1" t="s">
        <v>21</v>
      </c>
      <c r="G257" s="1">
        <v>3</v>
      </c>
      <c r="H257" s="1">
        <v>18000</v>
      </c>
      <c r="I257" s="3" t="s">
        <v>22</v>
      </c>
      <c r="J257" s="1">
        <f t="shared" si="16"/>
        <v>54000</v>
      </c>
      <c r="K257" s="1" t="str">
        <f t="shared" si="17"/>
        <v>Jan</v>
      </c>
    </row>
    <row r="258" spans="3:11" x14ac:dyDescent="0.3">
      <c r="C258" s="1">
        <v>304</v>
      </c>
      <c r="D258" s="1" t="s">
        <v>23</v>
      </c>
      <c r="E258" s="1" t="s">
        <v>24</v>
      </c>
      <c r="F258" s="1" t="s">
        <v>13</v>
      </c>
      <c r="G258" s="1">
        <v>1</v>
      </c>
      <c r="H258" s="1">
        <v>45000</v>
      </c>
      <c r="I258" s="3" t="s">
        <v>25</v>
      </c>
      <c r="J258" s="1">
        <f t="shared" si="16"/>
        <v>45000</v>
      </c>
      <c r="K258" s="1" t="str">
        <f t="shared" si="17"/>
        <v>Jan</v>
      </c>
    </row>
    <row r="259" spans="3:11" x14ac:dyDescent="0.3">
      <c r="C259" s="1">
        <v>305</v>
      </c>
      <c r="D259" s="1" t="s">
        <v>11</v>
      </c>
      <c r="E259" s="1" t="s">
        <v>12</v>
      </c>
      <c r="F259" s="1" t="s">
        <v>17</v>
      </c>
      <c r="G259" s="1">
        <v>4</v>
      </c>
      <c r="H259" s="1">
        <v>15000</v>
      </c>
      <c r="I259" s="3" t="s">
        <v>26</v>
      </c>
      <c r="J259" s="1">
        <f t="shared" si="16"/>
        <v>60000</v>
      </c>
      <c r="K259" s="1" t="str">
        <f t="shared" si="17"/>
        <v>Jan</v>
      </c>
    </row>
    <row r="260" spans="3:11" x14ac:dyDescent="0.3">
      <c r="C260" s="1">
        <v>306</v>
      </c>
      <c r="D260" s="1" t="s">
        <v>15</v>
      </c>
      <c r="E260" s="1" t="s">
        <v>16</v>
      </c>
      <c r="F260" s="1" t="s">
        <v>13</v>
      </c>
      <c r="G260" s="1">
        <v>2</v>
      </c>
      <c r="H260" s="1">
        <v>45000</v>
      </c>
      <c r="I260" s="3" t="s">
        <v>27</v>
      </c>
      <c r="J260" s="1">
        <f t="shared" si="16"/>
        <v>90000</v>
      </c>
      <c r="K260" s="1" t="str">
        <f t="shared" si="17"/>
        <v>Jan</v>
      </c>
    </row>
    <row r="262" spans="3:11" x14ac:dyDescent="0.3">
      <c r="E262" s="1" t="str">
        <f>LEFT(E255,2)</f>
        <v>Am</v>
      </c>
    </row>
    <row r="263" spans="3:11" x14ac:dyDescent="0.3">
      <c r="E263" s="1" t="str">
        <f t="shared" ref="E263:E267" si="18">LEFT(E256,2)</f>
        <v>Ri</v>
      </c>
    </row>
    <row r="264" spans="3:11" x14ac:dyDescent="0.3">
      <c r="E264" s="1" t="str">
        <f t="shared" si="18"/>
        <v>Ku</v>
      </c>
    </row>
    <row r="265" spans="3:11" x14ac:dyDescent="0.3">
      <c r="E265" s="1" t="str">
        <f t="shared" si="18"/>
        <v>Ne</v>
      </c>
    </row>
    <row r="266" spans="3:11" x14ac:dyDescent="0.3">
      <c r="E266" s="1" t="str">
        <f t="shared" si="18"/>
        <v>Am</v>
      </c>
    </row>
    <row r="267" spans="3:11" x14ac:dyDescent="0.3">
      <c r="E267" s="1" t="str">
        <f t="shared" si="18"/>
        <v>Ri</v>
      </c>
    </row>
    <row r="270" spans="3:11" x14ac:dyDescent="0.3">
      <c r="C270" t="s">
        <v>65</v>
      </c>
    </row>
    <row r="273" spans="3:12" x14ac:dyDescent="0.3">
      <c r="C273" s="9" t="s">
        <v>4</v>
      </c>
      <c r="D273" s="9" t="s">
        <v>5</v>
      </c>
      <c r="E273" s="9" t="s">
        <v>6</v>
      </c>
      <c r="F273" s="9" t="s">
        <v>7</v>
      </c>
      <c r="G273" s="9" t="s">
        <v>8</v>
      </c>
      <c r="H273" s="9" t="s">
        <v>9</v>
      </c>
      <c r="I273" s="9" t="s">
        <v>10</v>
      </c>
      <c r="J273" s="9" t="s">
        <v>75</v>
      </c>
      <c r="K273" s="9" t="s">
        <v>86</v>
      </c>
    </row>
    <row r="274" spans="3:12" x14ac:dyDescent="0.3">
      <c r="C274" s="1">
        <v>301</v>
      </c>
      <c r="D274" s="1" t="s">
        <v>11</v>
      </c>
      <c r="E274" s="1" t="s">
        <v>12</v>
      </c>
      <c r="F274" s="1" t="s">
        <v>13</v>
      </c>
      <c r="G274" s="1">
        <v>2</v>
      </c>
      <c r="H274" s="1">
        <v>45000</v>
      </c>
      <c r="I274" s="3" t="s">
        <v>14</v>
      </c>
      <c r="J274" s="1">
        <f>G274*H274</f>
        <v>90000</v>
      </c>
      <c r="K274" s="1" t="str">
        <f>TEXT(I274,"mmm")</f>
        <v>Jan</v>
      </c>
    </row>
    <row r="275" spans="3:12" x14ac:dyDescent="0.3">
      <c r="C275" s="1">
        <v>302</v>
      </c>
      <c r="D275" s="1" t="s">
        <v>15</v>
      </c>
      <c r="E275" s="1" t="s">
        <v>16</v>
      </c>
      <c r="F275" s="1" t="s">
        <v>17</v>
      </c>
      <c r="G275" s="1">
        <v>5</v>
      </c>
      <c r="H275" s="1">
        <v>15000</v>
      </c>
      <c r="I275" s="3" t="s">
        <v>18</v>
      </c>
      <c r="J275" s="1">
        <f t="shared" ref="J275:J279" si="19">G275*H275</f>
        <v>75000</v>
      </c>
      <c r="K275" s="1" t="str">
        <f t="shared" ref="K275:K279" si="20">TEXT(I275,"mmm")</f>
        <v>Jan</v>
      </c>
    </row>
    <row r="276" spans="3:12" x14ac:dyDescent="0.3">
      <c r="C276" s="1">
        <v>303</v>
      </c>
      <c r="D276" s="1" t="s">
        <v>19</v>
      </c>
      <c r="E276" s="1" t="s">
        <v>20</v>
      </c>
      <c r="F276" s="1" t="s">
        <v>21</v>
      </c>
      <c r="G276" s="1">
        <v>3</v>
      </c>
      <c r="H276" s="1">
        <v>18000</v>
      </c>
      <c r="I276" s="3" t="s">
        <v>22</v>
      </c>
      <c r="J276" s="1">
        <f t="shared" si="19"/>
        <v>54000</v>
      </c>
      <c r="K276" s="1" t="str">
        <f t="shared" si="20"/>
        <v>Jan</v>
      </c>
    </row>
    <row r="277" spans="3:12" x14ac:dyDescent="0.3">
      <c r="C277" s="1">
        <v>304</v>
      </c>
      <c r="D277" s="1" t="s">
        <v>23</v>
      </c>
      <c r="E277" s="1" t="s">
        <v>24</v>
      </c>
      <c r="F277" s="1" t="s">
        <v>13</v>
      </c>
      <c r="G277" s="1">
        <v>1</v>
      </c>
      <c r="H277" s="1">
        <v>45000</v>
      </c>
      <c r="I277" s="3" t="s">
        <v>25</v>
      </c>
      <c r="J277" s="1">
        <f t="shared" si="19"/>
        <v>45000</v>
      </c>
      <c r="K277" s="1" t="str">
        <f t="shared" si="20"/>
        <v>Jan</v>
      </c>
    </row>
    <row r="278" spans="3:12" x14ac:dyDescent="0.3">
      <c r="C278" s="1">
        <v>305</v>
      </c>
      <c r="D278" s="1" t="s">
        <v>11</v>
      </c>
      <c r="E278" s="1" t="s">
        <v>12</v>
      </c>
      <c r="F278" s="1" t="s">
        <v>17</v>
      </c>
      <c r="G278" s="1">
        <v>4</v>
      </c>
      <c r="H278" s="1">
        <v>15000</v>
      </c>
      <c r="I278" s="3" t="s">
        <v>26</v>
      </c>
      <c r="J278" s="1">
        <f t="shared" si="19"/>
        <v>60000</v>
      </c>
      <c r="K278" s="1" t="str">
        <f t="shared" si="20"/>
        <v>Jan</v>
      </c>
    </row>
    <row r="279" spans="3:12" x14ac:dyDescent="0.3">
      <c r="C279" s="1">
        <v>306</v>
      </c>
      <c r="D279" s="1" t="s">
        <v>15</v>
      </c>
      <c r="E279" s="1" t="s">
        <v>16</v>
      </c>
      <c r="F279" s="1" t="s">
        <v>13</v>
      </c>
      <c r="G279" s="1">
        <v>2</v>
      </c>
      <c r="H279" s="1">
        <v>45000</v>
      </c>
      <c r="I279" s="3" t="s">
        <v>27</v>
      </c>
      <c r="J279" s="1">
        <f t="shared" si="19"/>
        <v>90000</v>
      </c>
      <c r="K279" s="1" t="str">
        <f t="shared" si="20"/>
        <v>Jan</v>
      </c>
    </row>
    <row r="282" spans="3:12" x14ac:dyDescent="0.3">
      <c r="C282" t="s">
        <v>66</v>
      </c>
    </row>
    <row r="284" spans="3:12" x14ac:dyDescent="0.3">
      <c r="C284" s="9" cm="1">
        <f t="array" ref="C284:K285">_xlfn._xlws.FILTER(C297:K302,(F297:F302="Laptop")*(G297:G302&gt;1))</f>
        <v>301</v>
      </c>
      <c r="D284" s="9" t="str">
        <v>North</v>
      </c>
      <c r="E284" s="9" t="str">
        <v>Amit</v>
      </c>
      <c r="F284" s="9" t="str">
        <v>Laptop</v>
      </c>
      <c r="G284" s="9">
        <v>2</v>
      </c>
      <c r="H284" s="9">
        <v>45000</v>
      </c>
      <c r="I284" s="9" t="str">
        <v>05-01-2025</v>
      </c>
      <c r="J284" s="9">
        <v>90000</v>
      </c>
      <c r="K284" s="9" t="str">
        <v>Jan</v>
      </c>
      <c r="L284" s="14"/>
    </row>
    <row r="285" spans="3:12" x14ac:dyDescent="0.3">
      <c r="C285" s="1">
        <v>306</v>
      </c>
      <c r="D285" s="1" t="str">
        <v>South</v>
      </c>
      <c r="E285" s="1" t="str">
        <v>Riya</v>
      </c>
      <c r="F285" s="1" t="str">
        <v>Laptop</v>
      </c>
      <c r="G285" s="1">
        <v>2</v>
      </c>
      <c r="H285" s="1">
        <v>45000</v>
      </c>
      <c r="I285" s="3" t="str">
        <v>18-01-2025</v>
      </c>
      <c r="J285" s="1">
        <v>90000</v>
      </c>
      <c r="K285" s="1" t="str">
        <v>Jan</v>
      </c>
    </row>
    <row r="286" spans="3:12" x14ac:dyDescent="0.3">
      <c r="C286" s="1"/>
      <c r="D286" s="1"/>
      <c r="E286" s="1"/>
      <c r="F286" s="1"/>
      <c r="G286" s="1"/>
      <c r="H286" s="1"/>
      <c r="I286" s="3"/>
      <c r="J286" s="1"/>
      <c r="K286" s="1"/>
    </row>
    <row r="287" spans="3:12" x14ac:dyDescent="0.3">
      <c r="C287" s="1"/>
      <c r="D287" s="1"/>
      <c r="E287" s="1"/>
      <c r="F287" s="1"/>
      <c r="G287" s="1"/>
      <c r="H287" s="1"/>
      <c r="I287" s="3"/>
      <c r="J287" s="1"/>
      <c r="K287" s="1"/>
    </row>
    <row r="288" spans="3:12" x14ac:dyDescent="0.3">
      <c r="C288" s="1"/>
      <c r="D288" s="1"/>
      <c r="E288" s="1"/>
      <c r="F288" s="1"/>
      <c r="G288" s="1"/>
      <c r="H288" s="1"/>
      <c r="I288" s="3"/>
      <c r="J288" s="1"/>
      <c r="K288" s="1"/>
    </row>
    <row r="289" spans="3:12" x14ac:dyDescent="0.3">
      <c r="C289" s="1"/>
      <c r="D289" s="1"/>
      <c r="E289" s="1"/>
      <c r="F289" s="1"/>
      <c r="G289" s="1"/>
      <c r="H289" s="1"/>
      <c r="I289" s="3"/>
      <c r="J289" s="1"/>
      <c r="K289" s="1"/>
    </row>
    <row r="290" spans="3:12" x14ac:dyDescent="0.3">
      <c r="C290" s="1"/>
      <c r="D290" s="1"/>
      <c r="E290" s="1"/>
      <c r="F290" s="1"/>
      <c r="G290" s="1"/>
      <c r="H290" s="1"/>
      <c r="I290" s="3"/>
      <c r="J290" s="1"/>
      <c r="K290" s="1"/>
    </row>
    <row r="293" spans="3:12" x14ac:dyDescent="0.3">
      <c r="C293" t="s">
        <v>67</v>
      </c>
    </row>
    <row r="296" spans="3:12" x14ac:dyDescent="0.3">
      <c r="C296" s="9" t="s">
        <v>4</v>
      </c>
      <c r="D296" s="9" t="s">
        <v>5</v>
      </c>
      <c r="E296" s="9" t="s">
        <v>6</v>
      </c>
      <c r="F296" s="9" t="s">
        <v>7</v>
      </c>
      <c r="G296" s="9" t="s">
        <v>8</v>
      </c>
      <c r="H296" s="9" t="s">
        <v>9</v>
      </c>
      <c r="I296" s="9" t="s">
        <v>10</v>
      </c>
      <c r="J296" s="9" t="s">
        <v>75</v>
      </c>
      <c r="K296" s="9" t="s">
        <v>86</v>
      </c>
    </row>
    <row r="297" spans="3:12" x14ac:dyDescent="0.3">
      <c r="C297" s="1">
        <v>304</v>
      </c>
      <c r="D297" s="1" t="s">
        <v>23</v>
      </c>
      <c r="E297" s="1" t="s">
        <v>24</v>
      </c>
      <c r="F297" s="1" t="s">
        <v>13</v>
      </c>
      <c r="G297" s="1">
        <v>1</v>
      </c>
      <c r="H297" s="1">
        <v>45000</v>
      </c>
      <c r="I297" s="3" t="s">
        <v>25</v>
      </c>
      <c r="J297" s="1">
        <f t="shared" ref="J297:J302" si="21">G297*H297</f>
        <v>45000</v>
      </c>
      <c r="K297" s="1" t="str">
        <f t="shared" ref="K297:K302" si="22">TEXT(I297,"mmm")</f>
        <v>Jan</v>
      </c>
    </row>
    <row r="298" spans="3:12" x14ac:dyDescent="0.3">
      <c r="C298" s="1">
        <v>301</v>
      </c>
      <c r="D298" s="1" t="s">
        <v>11</v>
      </c>
      <c r="E298" s="1" t="s">
        <v>12</v>
      </c>
      <c r="F298" s="1" t="s">
        <v>13</v>
      </c>
      <c r="G298" s="1">
        <v>2</v>
      </c>
      <c r="H298" s="1">
        <v>45000</v>
      </c>
      <c r="I298" s="3" t="s">
        <v>14</v>
      </c>
      <c r="J298" s="1">
        <f t="shared" si="21"/>
        <v>90000</v>
      </c>
      <c r="K298" s="1" t="str">
        <f t="shared" si="22"/>
        <v>Jan</v>
      </c>
      <c r="L298">
        <f>COUNTIFS(F297:F302,F297,D297:D302,D298)</f>
        <v>1</v>
      </c>
    </row>
    <row r="299" spans="3:12" x14ac:dyDescent="0.3">
      <c r="C299" s="1">
        <v>306</v>
      </c>
      <c r="D299" s="1" t="s">
        <v>15</v>
      </c>
      <c r="E299" s="1" t="s">
        <v>16</v>
      </c>
      <c r="F299" s="1" t="s">
        <v>13</v>
      </c>
      <c r="G299" s="1">
        <v>2</v>
      </c>
      <c r="H299" s="1">
        <v>45000</v>
      </c>
      <c r="I299" s="3" t="s">
        <v>27</v>
      </c>
      <c r="J299" s="1">
        <f t="shared" si="21"/>
        <v>90000</v>
      </c>
      <c r="K299" s="1" t="str">
        <f t="shared" si="22"/>
        <v>Jan</v>
      </c>
    </row>
    <row r="300" spans="3:12" x14ac:dyDescent="0.3">
      <c r="C300" s="1">
        <v>303</v>
      </c>
      <c r="D300" s="1" t="s">
        <v>19</v>
      </c>
      <c r="E300" s="1" t="s">
        <v>20</v>
      </c>
      <c r="F300" s="1" t="s">
        <v>21</v>
      </c>
      <c r="G300" s="1">
        <v>3</v>
      </c>
      <c r="H300" s="1">
        <v>18000</v>
      </c>
      <c r="I300" s="3" t="s">
        <v>22</v>
      </c>
      <c r="J300" s="1">
        <f t="shared" si="21"/>
        <v>54000</v>
      </c>
      <c r="K300" s="1" t="str">
        <f t="shared" si="22"/>
        <v>Jan</v>
      </c>
    </row>
    <row r="301" spans="3:12" x14ac:dyDescent="0.3">
      <c r="C301" s="1">
        <v>305</v>
      </c>
      <c r="D301" s="1" t="s">
        <v>11</v>
      </c>
      <c r="E301" s="1" t="s">
        <v>12</v>
      </c>
      <c r="F301" s="1" t="s">
        <v>17</v>
      </c>
      <c r="G301" s="1">
        <v>4</v>
      </c>
      <c r="H301" s="1">
        <v>15000</v>
      </c>
      <c r="I301" s="3" t="s">
        <v>26</v>
      </c>
      <c r="J301" s="1">
        <f t="shared" si="21"/>
        <v>60000</v>
      </c>
      <c r="K301" s="1" t="str">
        <f t="shared" si="22"/>
        <v>Jan</v>
      </c>
    </row>
    <row r="302" spans="3:12" x14ac:dyDescent="0.3">
      <c r="C302" s="1">
        <v>302</v>
      </c>
      <c r="D302" s="1" t="s">
        <v>15</v>
      </c>
      <c r="E302" s="1" t="s">
        <v>16</v>
      </c>
      <c r="F302" s="1" t="s">
        <v>17</v>
      </c>
      <c r="G302" s="1">
        <v>5</v>
      </c>
      <c r="H302" s="1">
        <v>15000</v>
      </c>
      <c r="I302" s="3" t="s">
        <v>18</v>
      </c>
      <c r="J302" s="1">
        <f t="shared" si="21"/>
        <v>75000</v>
      </c>
      <c r="K302" s="1" t="str">
        <f t="shared" si="22"/>
        <v>Jan</v>
      </c>
    </row>
    <row r="305" spans="3:12" x14ac:dyDescent="0.3">
      <c r="C305" t="s">
        <v>68</v>
      </c>
    </row>
    <row r="308" spans="3:12" x14ac:dyDescent="0.3">
      <c r="C308" s="9" t="s">
        <v>4</v>
      </c>
      <c r="D308" s="9" t="s">
        <v>5</v>
      </c>
      <c r="E308" s="9" t="s">
        <v>6</v>
      </c>
      <c r="F308" s="9" t="s">
        <v>7</v>
      </c>
      <c r="G308" s="9" t="s">
        <v>8</v>
      </c>
      <c r="H308" s="9" t="s">
        <v>9</v>
      </c>
      <c r="I308" s="9" t="s">
        <v>10</v>
      </c>
      <c r="J308" s="9" t="s">
        <v>75</v>
      </c>
      <c r="K308" s="9" t="s">
        <v>86</v>
      </c>
    </row>
    <row r="309" spans="3:12" x14ac:dyDescent="0.3">
      <c r="C309" s="1">
        <v>304</v>
      </c>
      <c r="D309" s="1" t="s">
        <v>23</v>
      </c>
      <c r="E309" s="1" t="s">
        <v>24</v>
      </c>
      <c r="F309" s="1" t="s">
        <v>13</v>
      </c>
      <c r="G309" s="1">
        <v>1</v>
      </c>
      <c r="H309" s="1">
        <v>45000</v>
      </c>
      <c r="I309" s="3" t="s">
        <v>25</v>
      </c>
      <c r="J309" s="1">
        <f t="shared" ref="J309:J314" si="23">G309*H309</f>
        <v>45000</v>
      </c>
      <c r="K309" s="1" t="str">
        <f t="shared" ref="K309:K314" si="24">TEXT(I309,"mmm")</f>
        <v>Jan</v>
      </c>
      <c r="L309">
        <f>ROUND(H309,-3)</f>
        <v>45000</v>
      </c>
    </row>
    <row r="310" spans="3:12" x14ac:dyDescent="0.3">
      <c r="C310" s="1">
        <v>301</v>
      </c>
      <c r="D310" s="1" t="s">
        <v>11</v>
      </c>
      <c r="E310" s="1" t="s">
        <v>12</v>
      </c>
      <c r="F310" s="1" t="s">
        <v>13</v>
      </c>
      <c r="G310" s="1">
        <v>2</v>
      </c>
      <c r="H310" s="1">
        <v>45000</v>
      </c>
      <c r="I310" s="3" t="s">
        <v>14</v>
      </c>
      <c r="J310" s="1">
        <f t="shared" si="23"/>
        <v>90000</v>
      </c>
      <c r="K310" s="1" t="str">
        <f t="shared" si="24"/>
        <v>Jan</v>
      </c>
      <c r="L310">
        <f t="shared" ref="L310:L314" si="25">ROUND(H310,-3)</f>
        <v>45000</v>
      </c>
    </row>
    <row r="311" spans="3:12" x14ac:dyDescent="0.3">
      <c r="C311" s="1">
        <v>306</v>
      </c>
      <c r="D311" s="1" t="s">
        <v>15</v>
      </c>
      <c r="E311" s="1" t="s">
        <v>16</v>
      </c>
      <c r="F311" s="1" t="s">
        <v>13</v>
      </c>
      <c r="G311" s="1">
        <v>2</v>
      </c>
      <c r="H311" s="1">
        <v>45000</v>
      </c>
      <c r="I311" s="3" t="s">
        <v>27</v>
      </c>
      <c r="J311" s="1">
        <f t="shared" si="23"/>
        <v>90000</v>
      </c>
      <c r="K311" s="1" t="str">
        <f t="shared" si="24"/>
        <v>Jan</v>
      </c>
      <c r="L311">
        <f t="shared" si="25"/>
        <v>45000</v>
      </c>
    </row>
    <row r="312" spans="3:12" x14ac:dyDescent="0.3">
      <c r="C312" s="1">
        <v>303</v>
      </c>
      <c r="D312" s="1" t="s">
        <v>19</v>
      </c>
      <c r="E312" s="1" t="s">
        <v>20</v>
      </c>
      <c r="F312" s="1" t="s">
        <v>21</v>
      </c>
      <c r="G312" s="1">
        <v>3</v>
      </c>
      <c r="H312" s="1">
        <v>18000</v>
      </c>
      <c r="I312" s="3" t="s">
        <v>22</v>
      </c>
      <c r="J312" s="1">
        <f t="shared" si="23"/>
        <v>54000</v>
      </c>
      <c r="K312" s="1" t="str">
        <f t="shared" si="24"/>
        <v>Jan</v>
      </c>
      <c r="L312">
        <f t="shared" si="25"/>
        <v>18000</v>
      </c>
    </row>
    <row r="313" spans="3:12" x14ac:dyDescent="0.3">
      <c r="C313" s="1">
        <v>305</v>
      </c>
      <c r="D313" s="1" t="s">
        <v>11</v>
      </c>
      <c r="E313" s="1" t="s">
        <v>12</v>
      </c>
      <c r="F313" s="1" t="s">
        <v>17</v>
      </c>
      <c r="G313" s="1">
        <v>4</v>
      </c>
      <c r="H313" s="1">
        <v>15600</v>
      </c>
      <c r="I313" s="3" t="s">
        <v>26</v>
      </c>
      <c r="J313" s="1">
        <f t="shared" si="23"/>
        <v>62400</v>
      </c>
      <c r="K313" s="1" t="str">
        <f t="shared" si="24"/>
        <v>Jan</v>
      </c>
      <c r="L313">
        <f t="shared" si="25"/>
        <v>16000</v>
      </c>
    </row>
    <row r="314" spans="3:12" x14ac:dyDescent="0.3">
      <c r="C314" s="1">
        <v>302</v>
      </c>
      <c r="D314" s="1" t="s">
        <v>15</v>
      </c>
      <c r="E314" s="1" t="s">
        <v>16</v>
      </c>
      <c r="F314" s="1" t="s">
        <v>17</v>
      </c>
      <c r="G314" s="1">
        <v>5</v>
      </c>
      <c r="H314" s="1">
        <v>15000</v>
      </c>
      <c r="I314" s="3" t="s">
        <v>18</v>
      </c>
      <c r="J314" s="1">
        <f t="shared" si="23"/>
        <v>75000</v>
      </c>
      <c r="K314" s="1" t="str">
        <f t="shared" si="24"/>
        <v>Jan</v>
      </c>
      <c r="L314">
        <f t="shared" si="25"/>
        <v>15000</v>
      </c>
    </row>
    <row r="317" spans="3:12" x14ac:dyDescent="0.3">
      <c r="C317" t="s">
        <v>69</v>
      </c>
    </row>
    <row r="320" spans="3:12" x14ac:dyDescent="0.3">
      <c r="C320" s="9" t="s">
        <v>4</v>
      </c>
      <c r="D320" s="9" t="s">
        <v>5</v>
      </c>
      <c r="E320" s="9" t="s">
        <v>6</v>
      </c>
      <c r="F320" s="9" t="s">
        <v>7</v>
      </c>
      <c r="G320" s="9" t="s">
        <v>8</v>
      </c>
      <c r="H320" s="9" t="s">
        <v>9</v>
      </c>
      <c r="I320" s="9" t="s">
        <v>10</v>
      </c>
      <c r="J320" s="9" t="s">
        <v>75</v>
      </c>
      <c r="K320" s="9" t="s">
        <v>86</v>
      </c>
    </row>
    <row r="321" spans="3:12" x14ac:dyDescent="0.3">
      <c r="C321" s="1">
        <v>304</v>
      </c>
      <c r="D321" s="1" t="s">
        <v>23</v>
      </c>
      <c r="E321" s="1" t="s">
        <v>24</v>
      </c>
      <c r="F321" s="1" t="s">
        <v>13</v>
      </c>
      <c r="G321" s="1">
        <v>1</v>
      </c>
      <c r="H321" s="1">
        <v>45000</v>
      </c>
      <c r="I321" s="3" t="s">
        <v>25</v>
      </c>
      <c r="J321" s="1">
        <f t="shared" ref="J321:J326" si="26">G321*H321</f>
        <v>45000</v>
      </c>
      <c r="K321" s="1" t="str">
        <f t="shared" ref="K321:K326" si="27">TEXT(I321,"mmm")</f>
        <v>Jan</v>
      </c>
      <c r="L321">
        <f>ROUND(H321,-3)</f>
        <v>45000</v>
      </c>
    </row>
    <row r="322" spans="3:12" x14ac:dyDescent="0.3">
      <c r="C322" s="1">
        <v>301</v>
      </c>
      <c r="D322" s="1" t="s">
        <v>11</v>
      </c>
      <c r="E322" s="1" t="s">
        <v>12</v>
      </c>
      <c r="F322" s="1" t="s">
        <v>13</v>
      </c>
      <c r="G322" s="1">
        <v>2</v>
      </c>
      <c r="H322" s="1">
        <v>45000</v>
      </c>
      <c r="I322" s="3" t="s">
        <v>14</v>
      </c>
      <c r="J322" s="1">
        <f t="shared" si="26"/>
        <v>90000</v>
      </c>
      <c r="K322" s="1" t="str">
        <f t="shared" si="27"/>
        <v>Jan</v>
      </c>
      <c r="L322">
        <f t="shared" ref="L322:L326" si="28">ROUND(H322,-3)</f>
        <v>45000</v>
      </c>
    </row>
    <row r="323" spans="3:12" x14ac:dyDescent="0.3">
      <c r="C323" s="1">
        <v>306</v>
      </c>
      <c r="D323" s="1" t="s">
        <v>15</v>
      </c>
      <c r="E323" s="1" t="s">
        <v>16</v>
      </c>
      <c r="F323" s="1" t="s">
        <v>13</v>
      </c>
      <c r="G323" s="1">
        <v>2</v>
      </c>
      <c r="H323" s="1">
        <v>45000</v>
      </c>
      <c r="I323" s="3" t="s">
        <v>27</v>
      </c>
      <c r="J323" s="1">
        <f t="shared" si="26"/>
        <v>90000</v>
      </c>
      <c r="K323" s="1" t="str">
        <f t="shared" si="27"/>
        <v>Jan</v>
      </c>
      <c r="L323">
        <f t="shared" si="28"/>
        <v>45000</v>
      </c>
    </row>
    <row r="324" spans="3:12" x14ac:dyDescent="0.3">
      <c r="C324" s="1">
        <v>303</v>
      </c>
      <c r="D324" s="1" t="s">
        <v>19</v>
      </c>
      <c r="E324" s="1" t="s">
        <v>20</v>
      </c>
      <c r="F324" s="1" t="s">
        <v>21</v>
      </c>
      <c r="G324" s="1">
        <v>3</v>
      </c>
      <c r="H324" s="1">
        <v>18000</v>
      </c>
      <c r="I324" s="3" t="s">
        <v>22</v>
      </c>
      <c r="J324" s="1">
        <f t="shared" si="26"/>
        <v>54000</v>
      </c>
      <c r="K324" s="1" t="str">
        <f t="shared" si="27"/>
        <v>Jan</v>
      </c>
      <c r="L324">
        <f t="shared" si="28"/>
        <v>18000</v>
      </c>
    </row>
    <row r="325" spans="3:12" x14ac:dyDescent="0.3">
      <c r="C325" s="1">
        <v>305</v>
      </c>
      <c r="D325" s="1" t="s">
        <v>11</v>
      </c>
      <c r="E325" s="1" t="s">
        <v>12</v>
      </c>
      <c r="F325" s="1" t="s">
        <v>17</v>
      </c>
      <c r="G325" s="1">
        <v>4</v>
      </c>
      <c r="H325" s="1">
        <v>15600</v>
      </c>
      <c r="I325" s="3" t="s">
        <v>26</v>
      </c>
      <c r="J325" s="1">
        <f t="shared" si="26"/>
        <v>62400</v>
      </c>
      <c r="K325" s="1" t="str">
        <f t="shared" si="27"/>
        <v>Jan</v>
      </c>
      <c r="L325">
        <f t="shared" si="28"/>
        <v>16000</v>
      </c>
    </row>
    <row r="326" spans="3:12" x14ac:dyDescent="0.3">
      <c r="C326" s="1">
        <v>302</v>
      </c>
      <c r="D326" s="1" t="s">
        <v>15</v>
      </c>
      <c r="E326" s="1" t="s">
        <v>16</v>
      </c>
      <c r="F326" s="1" t="s">
        <v>17</v>
      </c>
      <c r="G326" s="1">
        <v>5</v>
      </c>
      <c r="H326" s="1">
        <v>15000</v>
      </c>
      <c r="I326" s="3" t="s">
        <v>18</v>
      </c>
      <c r="J326" s="1">
        <f t="shared" si="26"/>
        <v>75000</v>
      </c>
      <c r="K326" s="1" t="str">
        <f t="shared" si="27"/>
        <v>Jan</v>
      </c>
      <c r="L326">
        <f t="shared" si="28"/>
        <v>15000</v>
      </c>
    </row>
    <row r="329" spans="3:12" x14ac:dyDescent="0.3">
      <c r="C329" t="s">
        <v>70</v>
      </c>
    </row>
    <row r="333" spans="3:12" x14ac:dyDescent="0.3">
      <c r="C333" t="s">
        <v>71</v>
      </c>
    </row>
  </sheetData>
  <sortState xmlns:xlrd2="http://schemas.microsoft.com/office/spreadsheetml/2017/richdata2" ref="C285:L290">
    <sortCondition ref="G285:G290"/>
  </sortState>
  <mergeCells count="1">
    <mergeCell ref="I146:J146"/>
  </mergeCells>
  <conditionalFormatting sqref="J274:J279">
    <cfRule type="cellIs" dxfId="0" priority="1" operator="greaterThan">
      <formula>60000</formula>
    </cfRule>
  </conditionalFormatting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74D4-2943-48CE-9350-4F3D7F6410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12" workbookViewId="0">
      <selection activeCell="D30" sqref="A30:D30"/>
    </sheetView>
  </sheetViews>
  <sheetFormatPr defaultRowHeight="14.4" x14ac:dyDescent="0.3"/>
  <sheetData>
    <row r="1" spans="1:10" x14ac:dyDescent="0.3">
      <c r="A1" t="s">
        <v>42</v>
      </c>
      <c r="J1">
        <v>2</v>
      </c>
    </row>
    <row r="2" spans="1:10" x14ac:dyDescent="0.3">
      <c r="A2" t="s">
        <v>43</v>
      </c>
      <c r="J2">
        <v>2</v>
      </c>
    </row>
    <row r="3" spans="1:10" x14ac:dyDescent="0.3">
      <c r="A3" t="s">
        <v>44</v>
      </c>
      <c r="J3">
        <v>2</v>
      </c>
    </row>
    <row r="4" spans="1:10" x14ac:dyDescent="0.3">
      <c r="A4" t="s">
        <v>45</v>
      </c>
      <c r="J4">
        <v>2</v>
      </c>
    </row>
    <row r="5" spans="1:10" x14ac:dyDescent="0.3">
      <c r="A5" t="s">
        <v>46</v>
      </c>
      <c r="J5">
        <v>2</v>
      </c>
    </row>
    <row r="6" spans="1:10" x14ac:dyDescent="0.3">
      <c r="A6" t="s">
        <v>47</v>
      </c>
      <c r="J6">
        <v>2</v>
      </c>
    </row>
    <row r="7" spans="1:10" x14ac:dyDescent="0.3">
      <c r="A7" t="s">
        <v>48</v>
      </c>
      <c r="J7">
        <v>2</v>
      </c>
    </row>
    <row r="8" spans="1:10" x14ac:dyDescent="0.3">
      <c r="A8" t="s">
        <v>49</v>
      </c>
      <c r="J8">
        <v>2</v>
      </c>
    </row>
    <row r="9" spans="1:10" x14ac:dyDescent="0.3">
      <c r="A9" t="s">
        <v>50</v>
      </c>
      <c r="J9">
        <v>2</v>
      </c>
    </row>
    <row r="10" spans="1:10" x14ac:dyDescent="0.3">
      <c r="A10" t="s">
        <v>51</v>
      </c>
      <c r="J10">
        <v>2</v>
      </c>
    </row>
    <row r="11" spans="1:10" x14ac:dyDescent="0.3">
      <c r="A11" t="s">
        <v>52</v>
      </c>
      <c r="J11">
        <v>2</v>
      </c>
    </row>
    <row r="12" spans="1:10" x14ac:dyDescent="0.3">
      <c r="A12" t="s">
        <v>53</v>
      </c>
      <c r="J12">
        <v>2</v>
      </c>
    </row>
    <row r="13" spans="1:10" x14ac:dyDescent="0.3">
      <c r="A13" t="s">
        <v>54</v>
      </c>
      <c r="J13">
        <v>2</v>
      </c>
    </row>
    <row r="14" spans="1:10" x14ac:dyDescent="0.3">
      <c r="A14" t="s">
        <v>55</v>
      </c>
      <c r="J14">
        <v>2</v>
      </c>
    </row>
    <row r="15" spans="1:10" x14ac:dyDescent="0.3">
      <c r="A15" t="s">
        <v>56</v>
      </c>
      <c r="J15">
        <v>2</v>
      </c>
    </row>
    <row r="16" spans="1:10" x14ac:dyDescent="0.3">
      <c r="A16" t="s">
        <v>57</v>
      </c>
      <c r="J16">
        <v>2</v>
      </c>
    </row>
    <row r="17" spans="1:10" x14ac:dyDescent="0.3">
      <c r="A17" t="s">
        <v>58</v>
      </c>
      <c r="J17">
        <v>2</v>
      </c>
    </row>
    <row r="18" spans="1:10" x14ac:dyDescent="0.3">
      <c r="A18" t="s">
        <v>59</v>
      </c>
      <c r="J18">
        <v>2</v>
      </c>
    </row>
    <row r="19" spans="1:10" x14ac:dyDescent="0.3">
      <c r="A19" t="s">
        <v>60</v>
      </c>
      <c r="J19">
        <v>2</v>
      </c>
    </row>
    <row r="20" spans="1:10" x14ac:dyDescent="0.3">
      <c r="A20" t="s">
        <v>61</v>
      </c>
      <c r="J20">
        <v>2</v>
      </c>
    </row>
    <row r="21" spans="1:10" x14ac:dyDescent="0.3">
      <c r="A21" t="s">
        <v>62</v>
      </c>
      <c r="J21">
        <v>2</v>
      </c>
    </row>
    <row r="22" spans="1:10" x14ac:dyDescent="0.3">
      <c r="A22" t="s">
        <v>63</v>
      </c>
      <c r="J22">
        <v>2</v>
      </c>
    </row>
    <row r="23" spans="1:10" x14ac:dyDescent="0.3">
      <c r="A23" t="s">
        <v>64</v>
      </c>
      <c r="J23">
        <v>2</v>
      </c>
    </row>
    <row r="24" spans="1:10" x14ac:dyDescent="0.3">
      <c r="A24" t="s">
        <v>65</v>
      </c>
      <c r="J24">
        <v>2</v>
      </c>
    </row>
    <row r="25" spans="1:10" x14ac:dyDescent="0.3">
      <c r="A25" t="s">
        <v>66</v>
      </c>
      <c r="J25">
        <v>2</v>
      </c>
    </row>
    <row r="26" spans="1:10" x14ac:dyDescent="0.3">
      <c r="A26" t="s">
        <v>67</v>
      </c>
      <c r="J26">
        <v>2</v>
      </c>
    </row>
    <row r="27" spans="1:10" x14ac:dyDescent="0.3">
      <c r="A27" t="s">
        <v>68</v>
      </c>
      <c r="J27">
        <v>2</v>
      </c>
    </row>
    <row r="28" spans="1:10" x14ac:dyDescent="0.3">
      <c r="A28" t="s">
        <v>69</v>
      </c>
      <c r="J28">
        <v>2</v>
      </c>
    </row>
    <row r="29" spans="1:10" x14ac:dyDescent="0.3">
      <c r="A29" t="s">
        <v>70</v>
      </c>
      <c r="J29">
        <v>2</v>
      </c>
    </row>
    <row r="30" spans="1:10" x14ac:dyDescent="0.3">
      <c r="A30" t="s">
        <v>71</v>
      </c>
      <c r="J30">
        <v>2</v>
      </c>
    </row>
    <row r="32" spans="1:10" x14ac:dyDescent="0.3">
      <c r="J32">
        <f>SUM(J1:J30)</f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4.4" x14ac:dyDescent="0.3"/>
  <sheetData>
    <row r="1" spans="1:1" x14ac:dyDescent="0.3">
      <c r="A1" t="s">
        <v>72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4.4" x14ac:dyDescent="0.3"/>
  <sheetData>
    <row r="1" spans="1:3" x14ac:dyDescent="0.3">
      <c r="A1" t="s">
        <v>7</v>
      </c>
      <c r="B1" t="s">
        <v>28</v>
      </c>
      <c r="C1" t="s">
        <v>29</v>
      </c>
    </row>
    <row r="2" spans="1:3" x14ac:dyDescent="0.3">
      <c r="A2" t="s">
        <v>13</v>
      </c>
      <c r="B2" t="s">
        <v>30</v>
      </c>
      <c r="C2">
        <v>18</v>
      </c>
    </row>
    <row r="3" spans="1:3" x14ac:dyDescent="0.3">
      <c r="A3" t="s">
        <v>17</v>
      </c>
      <c r="B3" t="s">
        <v>30</v>
      </c>
      <c r="C3">
        <v>12</v>
      </c>
    </row>
    <row r="4" spans="1:3" x14ac:dyDescent="0.3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F2" sqref="F2:F4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3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3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3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3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3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5038-DC30-4D9F-BB82-9CAF888EBAA0}">
  <dimension ref="A3:B9"/>
  <sheetViews>
    <sheetView workbookViewId="0">
      <selection activeCell="N8" sqref="N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4" t="s">
        <v>83</v>
      </c>
      <c r="B3" t="s">
        <v>92</v>
      </c>
    </row>
    <row r="4" spans="1:2" x14ac:dyDescent="0.3">
      <c r="A4" s="5" t="s">
        <v>39</v>
      </c>
      <c r="B4">
        <v>72</v>
      </c>
    </row>
    <row r="5" spans="1:2" x14ac:dyDescent="0.3">
      <c r="A5" s="5" t="s">
        <v>40</v>
      </c>
      <c r="B5">
        <v>94</v>
      </c>
    </row>
    <row r="6" spans="1:2" x14ac:dyDescent="0.3">
      <c r="A6" s="5" t="s">
        <v>37</v>
      </c>
      <c r="B6">
        <v>85</v>
      </c>
    </row>
    <row r="7" spans="1:2" x14ac:dyDescent="0.3">
      <c r="A7" s="5" t="s">
        <v>38</v>
      </c>
      <c r="B7">
        <v>90</v>
      </c>
    </row>
    <row r="8" spans="1:2" x14ac:dyDescent="0.3">
      <c r="A8" s="5" t="s">
        <v>41</v>
      </c>
      <c r="B8">
        <v>58</v>
      </c>
    </row>
    <row r="9" spans="1:2" x14ac:dyDescent="0.3">
      <c r="A9" s="5" t="s">
        <v>84</v>
      </c>
      <c r="B9">
        <v>399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6"/>
    </sheetView>
  </sheetViews>
  <sheetFormatPr defaultRowHeight="14.4" x14ac:dyDescent="0.3"/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3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3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3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3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Answer</vt:lpstr>
      <vt:lpstr>Sheet1</vt:lpstr>
      <vt:lpstr>Questions</vt:lpstr>
      <vt:lpstr>Instructions</vt:lpstr>
      <vt:lpstr>Product_Master</vt:lpstr>
      <vt:lpstr>Sales_Data</vt:lpstr>
      <vt:lpstr>Sheet3</vt:lpstr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chavda</cp:lastModifiedBy>
  <dcterms:created xsi:type="dcterms:W3CDTF">2025-12-20T09:26:06Z</dcterms:created>
  <dcterms:modified xsi:type="dcterms:W3CDTF">2026-07-16T11:10:17Z</dcterms:modified>
</cp:coreProperties>
</file>