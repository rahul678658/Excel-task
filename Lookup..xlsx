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d6d30581da5a1c8/Desktop/Rahul03/Excel/"/>
    </mc:Choice>
  </mc:AlternateContent>
  <xr:revisionPtr revIDLastSave="349" documentId="8_{1054B7A8-0FFD-427D-A4AC-7B2722BD0F48}" xr6:coauthVersionLast="47" xr6:coauthVersionMax="47" xr10:uidLastSave="{D27F430E-8D91-4E42-B2F8-4165DD20D33D}"/>
  <bookViews>
    <workbookView xWindow="-108" yWindow="-108" windowWidth="23256" windowHeight="12456" xr2:uid="{D58017C9-7862-43D4-82F8-31A176B6BA36}"/>
  </bookViews>
  <sheets>
    <sheet name="LOOK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5" i="1" l="1"/>
  <c r="C127" i="1"/>
  <c r="C119" i="1"/>
  <c r="C111" i="1"/>
  <c r="C103" i="1"/>
  <c r="C92" i="1"/>
  <c r="L4" i="1" l="1"/>
  <c r="M4" i="1"/>
  <c r="N4" i="1"/>
  <c r="O4" i="1"/>
  <c r="K4" i="1"/>
  <c r="H3" i="1"/>
  <c r="H4" i="1"/>
  <c r="H5" i="1"/>
  <c r="H6" i="1"/>
  <c r="H7" i="1"/>
  <c r="H8" i="1"/>
  <c r="H9" i="1"/>
  <c r="H2" i="1"/>
  <c r="C76" i="1"/>
  <c r="C68" i="1"/>
  <c r="C57" i="1"/>
  <c r="C49" i="1"/>
  <c r="C41" i="1"/>
  <c r="C33" i="1"/>
  <c r="C25" i="1"/>
  <c r="C17" i="1"/>
</calcChain>
</file>

<file path=xl/sharedStrings.xml><?xml version="1.0" encoding="utf-8"?>
<sst xmlns="http://schemas.openxmlformats.org/spreadsheetml/2006/main" count="114" uniqueCount="62">
  <si>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</si>
  <si>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</si>
  <si>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</si>
  <si>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</si>
  <si>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</si>
  <si>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</si>
  <si>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</si>
  <si>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</si>
  <si>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</si>
  <si>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</si>
  <si>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</si>
  <si>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</si>
  <si>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</si>
  <si>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</si>
  <si>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</si>
  <si>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</si>
  <si>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</si>
  <si>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</si>
  <si>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</si>
  <si>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</si>
  <si>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</si>
  <si>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</si>
  <si>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</si>
  <si>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</si>
  <si>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</si>
  <si>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</si>
  <si>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</si>
  <si>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</si>
  <si>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</si>
  <si>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</si>
  <si>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</si>
  <si>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</si>
  <si>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</si>
  <si>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Bonus %</t>
  </si>
  <si>
    <r>
      <t>1. Find the </t>
    </r>
    <r>
      <rPr>
        <sz val="14"/>
        <color rgb="FF1F2328"/>
        <rFont val="Segoe UI"/>
        <family val="2"/>
      </rPr>
      <t>Name</t>
    </r>
    <r>
      <rPr>
        <sz val="14"/>
        <color rgb="FF1F2328"/>
        <rFont val="Segoe UI"/>
        <family val="2"/>
      </rPr>
      <t> of employee using </t>
    </r>
    <r>
      <rPr>
        <sz val="14"/>
        <color rgb="FF1F2328"/>
        <rFont val="Consolas"/>
        <family val="3"/>
      </rPr>
      <t>EmployeeID</t>
    </r>
    <r>
      <rPr>
        <sz val="14"/>
        <color rgb="FF1F2328"/>
        <rFont val="Segoe UI"/>
        <family val="2"/>
      </rPr>
      <t> from </t>
    </r>
    <r>
      <rPr>
        <sz val="14"/>
        <color rgb="FF1F2328"/>
        <rFont val="Consolas"/>
        <family val="3"/>
      </rPr>
      <t>Search_Input</t>
    </r>
    <r>
      <rPr>
        <sz val="14"/>
        <color rgb="FF1F2328"/>
        <rFont val="Segoe UI"/>
        <family val="2"/>
      </rPr>
      <t>.</t>
    </r>
  </si>
  <si>
    <t>Employee ID</t>
  </si>
  <si>
    <r>
      <t>2. Find the </t>
    </r>
    <r>
      <rPr>
        <sz val="14"/>
        <color rgb="FF1F2328"/>
        <rFont val="Segoe UI"/>
        <family val="2"/>
      </rPr>
      <t>Department</t>
    </r>
    <r>
      <rPr>
        <sz val="14"/>
        <color rgb="FF1F2328"/>
        <rFont val="Segoe UI"/>
        <family val="2"/>
      </rPr>
      <t> of employee with ID </t>
    </r>
    <r>
      <rPr>
        <sz val="14"/>
        <color rgb="FF1F2328"/>
        <rFont val="Segoe UI"/>
        <family val="2"/>
      </rPr>
      <t>E103</t>
    </r>
    <r>
      <rPr>
        <sz val="14"/>
        <color rgb="FF1F2328"/>
        <rFont val="Segoe UI"/>
        <family val="2"/>
      </rPr>
      <t>.</t>
    </r>
  </si>
  <si>
    <t>3.Find the Salary of employee Neha Singh using VLOOKUP.</t>
  </si>
  <si>
    <t>VLOOKUP</t>
  </si>
  <si>
    <t>4.Get the Location of employee E107.</t>
  </si>
  <si>
    <t>5.If EmployeeID is not found, display "Not Found"</t>
  </si>
  <si>
    <t>E999</t>
  </si>
  <si>
    <t>6.Find the JoiningYear of employee E101.</t>
  </si>
  <si>
    <t>Joining year</t>
  </si>
  <si>
    <t>HLOOKUP</t>
  </si>
  <si>
    <t>7.Find the Bonus % for IT department.</t>
  </si>
  <si>
    <t>Bonus%</t>
  </si>
  <si>
    <t>8.Find the Bonus % for Finance department.</t>
  </si>
  <si>
    <t>9.Calculate Bonus Amount for employee E104
(Bonus Amount = Salary × Bonus %).</t>
  </si>
  <si>
    <t>Bonus Amount</t>
  </si>
  <si>
    <t>10.If department is invalid, display "No Bonus Data".</t>
  </si>
  <si>
    <t>sales manager</t>
  </si>
  <si>
    <t>XLOOKUP</t>
  </si>
  <si>
    <t>11.Find Salary using EmployeeID.</t>
  </si>
  <si>
    <t>12.Find Department using Employee Name.</t>
  </si>
  <si>
    <t xml:space="preserve">Name </t>
  </si>
  <si>
    <t>13.Fetch Location of employee Rohit Verma.</t>
  </si>
  <si>
    <t>Employee Name</t>
  </si>
  <si>
    <t>14.If EmployeeID = E999, return "Employee Not Found".</t>
  </si>
  <si>
    <t>E199</t>
  </si>
  <si>
    <t>15.Find Bonus % using XLOOKUP from Department_Bonus (horizontal lookup).</t>
  </si>
  <si>
    <t>Dep_Bonus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</si>
</sst>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1F2328"/>
      <name val="Segoe UI"/>
      <family val="2"/>
    </font>
    <font>
      <sz val="10"/>
      <color rgb="FF1F2328"/>
      <name val="Segoe UI"/>
      <family val="2"/>
    </font>
    <font>
      <sz val="14"/>
      <color theme="1"/>
      <name val="Calibri"/>
      <family val="2"/>
      <scheme val="minor"/>
    </font>
    <font>
      <sz val="14"/>
      <color rgb="FF1F2328"/>
      <name val="Segoe UI"/>
      <family val="2"/>
    </font>
    <font>
      <sz val="14"/>
      <color rgb="FF1F2328"/>
      <name val="Consolas"/>
      <family val="3"/>
    </font>
    <font>
      <sz val="18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righ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righ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1" fillId="4" borderId="1" xfId="0" applyFont="1" applyFill="1" applyBorder="1" applyAlignment="1">
      <alignment horizontal="right" vertical="center" wrapText="1" indent="1"/>
    </xf>
    <xf numFmtId="0" fontId="1" fillId="4" borderId="1" xfId="0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right" vertical="center" wrapText="1" indent="1"/>
    </xf>
    <xf numFmtId="0" fontId="3" fillId="0" borderId="0" xfId="0" applyFont="1" applyAlignment="1">
      <alignment vertical="center"/>
    </xf>
    <xf numFmtId="0" fontId="3" fillId="0" borderId="0" xfId="0" applyFont="1"/>
    <xf numFmtId="0" fontId="4" fillId="5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3" fillId="5" borderId="0" xfId="0" applyFont="1" applyFill="1"/>
    <xf numFmtId="0" fontId="0" fillId="0" borderId="1" xfId="0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0" xfId="0" applyFill="1"/>
    <xf numFmtId="0" fontId="4" fillId="7" borderId="0" xfId="0" applyFont="1" applyFill="1"/>
    <xf numFmtId="0" fontId="3" fillId="7" borderId="0" xfId="0" applyFont="1" applyFill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8" borderId="1" xfId="0" applyFill="1" applyBorder="1" applyAlignment="1">
      <alignment horizontal="center" vertical="center"/>
    </xf>
    <xf numFmtId="0" fontId="6" fillId="9" borderId="0" xfId="0" applyFont="1" applyFill="1"/>
    <xf numFmtId="0" fontId="3" fillId="7" borderId="0" xfId="0" applyFont="1" applyFill="1" applyAlignment="1">
      <alignment horizontal="left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9" fontId="0" fillId="0" borderId="1" xfId="0" applyNumberFormat="1" applyBorder="1"/>
    <xf numFmtId="0" fontId="0" fillId="12" borderId="1" xfId="0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2" fillId="4" borderId="1" xfId="0" applyFont="1" applyFill="1" applyBorder="1" applyAlignment="1">
      <alignment horizontal="right" vertical="center" wrapText="1" indent="1"/>
    </xf>
    <xf numFmtId="9" fontId="2" fillId="3" borderId="1" xfId="0" applyNumberFormat="1" applyFont="1" applyFill="1" applyBorder="1" applyAlignment="1">
      <alignment horizontal="right" vertical="center" wrapText="1" indent="1"/>
    </xf>
    <xf numFmtId="0" fontId="0" fillId="13" borderId="1" xfId="0" applyFill="1" applyBorder="1" applyAlignment="1">
      <alignment horizontal="center"/>
    </xf>
    <xf numFmtId="0" fontId="0" fillId="14" borderId="1" xfId="0" applyFill="1" applyBorder="1"/>
    <xf numFmtId="0" fontId="6" fillId="9" borderId="0" xfId="0" applyFont="1" applyFill="1" applyAlignment="1">
      <alignment horizontal="left"/>
    </xf>
    <xf numFmtId="0" fontId="0" fillId="1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6" borderId="1" xfId="0" applyFill="1" applyBorder="1"/>
    <xf numFmtId="0" fontId="0" fillId="1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5CEBE-EDF9-4574-989F-3633C3ADA676}">
  <dimension ref="A1:O135"/>
  <sheetViews>
    <sheetView tabSelected="1" zoomScale="115" workbookViewId="0">
      <selection activeCell="E143" sqref="E143"/>
    </sheetView>
  </sheetViews>
  <sheetFormatPr defaultRowHeight="14.4" x14ac:dyDescent="0.3"/>
  <cols>
    <col min="1" max="1" width="13.6640625" customWidth="1"/>
    <col min="2" max="2" width="14.5546875" bestFit="1" customWidth="1"/>
    <col min="3" max="3" width="13.88671875" customWidth="1"/>
    <col min="4" max="4" width="11.5546875" bestFit="1" customWidth="1"/>
    <col min="5" max="5" width="8" bestFit="1" customWidth="1"/>
    <col min="6" max="6" width="13.33203125" bestFit="1" customWidth="1"/>
    <col min="7" max="7" width="10.33203125" customWidth="1"/>
    <col min="8" max="8" width="15.109375" bestFit="1" customWidth="1"/>
    <col min="10" max="10" width="15" customWidth="1"/>
    <col min="14" max="14" width="11.77734375" bestFit="1" customWidth="1"/>
    <col min="15" max="15" width="13.21875" customWidth="1"/>
  </cols>
  <sheetData>
    <row r="1" spans="1:15" ht="30" x14ac:dyDescent="0.3">
      <c r="A1" s="5" t="s">
        <v>0</v>
      </c>
      <c r="B1" s="6" t="s">
        <v>1</v>
      </c>
      <c r="C1" s="6" t="s">
        <v>2</v>
      </c>
      <c r="D1" s="6" t="s">
        <v>3</v>
      </c>
      <c r="E1" s="5" t="s">
        <v>4</v>
      </c>
      <c r="F1" s="5" t="s">
        <v>5</v>
      </c>
      <c r="G1" s="30" t="s">
        <v>46</v>
      </c>
      <c r="H1" s="30" t="s">
        <v>49</v>
      </c>
      <c r="J1" s="6" t="s">
        <v>2</v>
      </c>
      <c r="K1" s="5" t="s">
        <v>8</v>
      </c>
      <c r="L1" s="5" t="s">
        <v>12</v>
      </c>
      <c r="M1" s="5" t="s">
        <v>16</v>
      </c>
      <c r="N1" s="5" t="s">
        <v>20</v>
      </c>
      <c r="O1" s="5" t="s">
        <v>24</v>
      </c>
    </row>
    <row r="2" spans="1:15" ht="15" x14ac:dyDescent="0.3">
      <c r="A2" s="1" t="s">
        <v>6</v>
      </c>
      <c r="B2" s="2" t="s">
        <v>7</v>
      </c>
      <c r="C2" s="2" t="s">
        <v>8</v>
      </c>
      <c r="D2" s="2" t="s">
        <v>9</v>
      </c>
      <c r="E2" s="1">
        <v>45000</v>
      </c>
      <c r="F2" s="1">
        <v>2019</v>
      </c>
      <c r="G2" s="31">
        <v>0.1</v>
      </c>
      <c r="H2" s="3">
        <f>ROUND(E2*G2,2)</f>
        <v>4500</v>
      </c>
      <c r="J2" s="2" t="s">
        <v>33</v>
      </c>
      <c r="K2" s="7">
        <v>0.1</v>
      </c>
      <c r="L2" s="7">
        <v>0.08</v>
      </c>
      <c r="M2" s="7">
        <v>0.12</v>
      </c>
      <c r="N2" s="7">
        <v>0.15</v>
      </c>
      <c r="O2" s="7">
        <v>0.09</v>
      </c>
    </row>
    <row r="3" spans="1:15" ht="15" x14ac:dyDescent="0.3">
      <c r="A3" s="3" t="s">
        <v>10</v>
      </c>
      <c r="B3" s="4" t="s">
        <v>11</v>
      </c>
      <c r="C3" s="4" t="s">
        <v>12</v>
      </c>
      <c r="D3" s="4" t="s">
        <v>13</v>
      </c>
      <c r="E3" s="3">
        <v>52000</v>
      </c>
      <c r="F3" s="3">
        <v>2018</v>
      </c>
      <c r="G3" s="7">
        <v>0.08</v>
      </c>
      <c r="H3" s="3">
        <f t="shared" ref="H3:H9" si="0">ROUND(E3*G3,2)</f>
        <v>4160</v>
      </c>
      <c r="J3" s="19" t="s">
        <v>4</v>
      </c>
      <c r="K3" s="19">
        <v>45000</v>
      </c>
      <c r="L3" s="19">
        <v>52000</v>
      </c>
      <c r="M3" s="19">
        <v>65000</v>
      </c>
      <c r="N3" s="19">
        <v>58000</v>
      </c>
      <c r="O3" s="19">
        <v>48000</v>
      </c>
    </row>
    <row r="4" spans="1:15" ht="15" x14ac:dyDescent="0.3">
      <c r="A4" s="1" t="s">
        <v>14</v>
      </c>
      <c r="B4" s="2" t="s">
        <v>15</v>
      </c>
      <c r="C4" s="2" t="s">
        <v>16</v>
      </c>
      <c r="D4" s="2" t="s">
        <v>17</v>
      </c>
      <c r="E4" s="1">
        <v>65000</v>
      </c>
      <c r="F4" s="1">
        <v>2020</v>
      </c>
      <c r="G4" s="31">
        <v>0.12</v>
      </c>
      <c r="H4" s="3">
        <f t="shared" si="0"/>
        <v>7800</v>
      </c>
      <c r="J4" s="19" t="s">
        <v>49</v>
      </c>
      <c r="K4" s="19">
        <f>ROUND(K3*K2,0)</f>
        <v>4500</v>
      </c>
      <c r="L4" s="19">
        <f t="shared" ref="L4:O4" si="1">ROUND(L3*L2,0)</f>
        <v>4160</v>
      </c>
      <c r="M4" s="19">
        <f t="shared" si="1"/>
        <v>7800</v>
      </c>
      <c r="N4" s="19">
        <f t="shared" si="1"/>
        <v>8700</v>
      </c>
      <c r="O4" s="19">
        <f t="shared" si="1"/>
        <v>4320</v>
      </c>
    </row>
    <row r="5" spans="1:15" ht="15" x14ac:dyDescent="0.3">
      <c r="A5" s="3" t="s">
        <v>18</v>
      </c>
      <c r="B5" s="4" t="s">
        <v>19</v>
      </c>
      <c r="C5" s="4" t="s">
        <v>20</v>
      </c>
      <c r="D5" s="4" t="s">
        <v>21</v>
      </c>
      <c r="E5" s="3">
        <v>58000</v>
      </c>
      <c r="F5" s="3">
        <v>2017</v>
      </c>
      <c r="G5" s="7">
        <v>0.15</v>
      </c>
      <c r="H5" s="3">
        <f t="shared" si="0"/>
        <v>8700</v>
      </c>
    </row>
    <row r="6" spans="1:15" ht="30" x14ac:dyDescent="0.3">
      <c r="A6" s="1" t="s">
        <v>22</v>
      </c>
      <c r="B6" s="2" t="s">
        <v>23</v>
      </c>
      <c r="C6" s="2" t="s">
        <v>24</v>
      </c>
      <c r="D6" s="2" t="s">
        <v>9</v>
      </c>
      <c r="E6" s="1">
        <v>48000</v>
      </c>
      <c r="F6" s="1">
        <v>2021</v>
      </c>
      <c r="G6" s="31">
        <v>0.09</v>
      </c>
      <c r="H6" s="3">
        <f t="shared" si="0"/>
        <v>4320</v>
      </c>
      <c r="N6" s="6" t="s">
        <v>0</v>
      </c>
      <c r="O6" s="6" t="s">
        <v>1</v>
      </c>
    </row>
    <row r="7" spans="1:15" ht="15" x14ac:dyDescent="0.3">
      <c r="A7" s="3" t="s">
        <v>25</v>
      </c>
      <c r="B7" s="4" t="s">
        <v>26</v>
      </c>
      <c r="C7" s="4" t="s">
        <v>16</v>
      </c>
      <c r="D7" s="4" t="s">
        <v>27</v>
      </c>
      <c r="E7" s="3">
        <v>62000</v>
      </c>
      <c r="F7" s="3">
        <v>2019</v>
      </c>
      <c r="G7" s="7">
        <v>0.12</v>
      </c>
      <c r="H7" s="3">
        <f t="shared" si="0"/>
        <v>7440</v>
      </c>
      <c r="N7" s="2" t="s">
        <v>18</v>
      </c>
      <c r="O7" s="2" t="s">
        <v>15</v>
      </c>
    </row>
    <row r="8" spans="1:15" ht="15" x14ac:dyDescent="0.3">
      <c r="A8" s="1" t="s">
        <v>28</v>
      </c>
      <c r="B8" s="2" t="s">
        <v>29</v>
      </c>
      <c r="C8" s="2" t="s">
        <v>8</v>
      </c>
      <c r="D8" s="2" t="s">
        <v>30</v>
      </c>
      <c r="E8" s="1">
        <v>47000</v>
      </c>
      <c r="F8" s="1">
        <v>2020</v>
      </c>
      <c r="G8" s="31">
        <v>0.1</v>
      </c>
      <c r="H8" s="3">
        <f t="shared" si="0"/>
        <v>4700</v>
      </c>
    </row>
    <row r="9" spans="1:15" ht="15" x14ac:dyDescent="0.3">
      <c r="A9" s="3" t="s">
        <v>31</v>
      </c>
      <c r="B9" s="4" t="s">
        <v>32</v>
      </c>
      <c r="C9" s="4" t="s">
        <v>12</v>
      </c>
      <c r="D9" s="4" t="s">
        <v>17</v>
      </c>
      <c r="E9" s="3">
        <v>54000</v>
      </c>
      <c r="F9" s="3">
        <v>2016</v>
      </c>
      <c r="G9" s="27">
        <v>0.08</v>
      </c>
      <c r="H9" s="3">
        <f t="shared" si="0"/>
        <v>4320</v>
      </c>
    </row>
    <row r="11" spans="1:15" ht="23.4" x14ac:dyDescent="0.45">
      <c r="B11" s="21" t="s">
        <v>38</v>
      </c>
    </row>
    <row r="13" spans="1:15" ht="20.399999999999999" x14ac:dyDescent="0.35">
      <c r="A13" s="8"/>
      <c r="B13" s="10" t="s">
        <v>34</v>
      </c>
      <c r="C13" s="11"/>
      <c r="D13" s="11"/>
      <c r="E13" s="12"/>
      <c r="F13" s="12"/>
      <c r="G13" s="15"/>
      <c r="H13" s="15"/>
    </row>
    <row r="16" spans="1:15" x14ac:dyDescent="0.3">
      <c r="B16" s="14" t="s">
        <v>35</v>
      </c>
      <c r="C16" s="14" t="s">
        <v>1</v>
      </c>
    </row>
    <row r="17" spans="2:6" x14ac:dyDescent="0.3">
      <c r="B17" s="18">
        <v>104</v>
      </c>
      <c r="C17" s="18" t="str">
        <f>VLOOKUP(A5,A1:F9,2,0)</f>
        <v>Neha Singh</v>
      </c>
    </row>
    <row r="21" spans="2:6" ht="20.399999999999999" x14ac:dyDescent="0.45">
      <c r="B21" s="16" t="s">
        <v>36</v>
      </c>
      <c r="C21" s="17"/>
      <c r="D21" s="17"/>
      <c r="E21" s="17"/>
      <c r="F21" s="15"/>
    </row>
    <row r="24" spans="2:6" x14ac:dyDescent="0.3">
      <c r="B24" s="20" t="s">
        <v>35</v>
      </c>
      <c r="C24" s="20" t="s">
        <v>2</v>
      </c>
    </row>
    <row r="25" spans="2:6" x14ac:dyDescent="0.3">
      <c r="B25" s="18" t="s">
        <v>14</v>
      </c>
      <c r="C25" s="18" t="str">
        <f>VLOOKUP(B25,A1:F9,3,0)</f>
        <v>IT</v>
      </c>
    </row>
    <row r="29" spans="2:6" ht="18" x14ac:dyDescent="0.35">
      <c r="B29" s="17" t="s">
        <v>37</v>
      </c>
      <c r="C29" s="17"/>
      <c r="D29" s="17"/>
      <c r="E29" s="17"/>
      <c r="F29" s="17"/>
    </row>
    <row r="32" spans="2:6" x14ac:dyDescent="0.3">
      <c r="B32" s="14" t="s">
        <v>1</v>
      </c>
      <c r="C32" s="14" t="s">
        <v>4</v>
      </c>
    </row>
    <row r="33" spans="2:6" x14ac:dyDescent="0.3">
      <c r="B33" s="13" t="s">
        <v>19</v>
      </c>
      <c r="C33" s="13">
        <f>VLOOKUP(B33,B1:F9,4,0)</f>
        <v>58000</v>
      </c>
    </row>
    <row r="37" spans="2:6" ht="18" x14ac:dyDescent="0.35">
      <c r="B37" s="22" t="s">
        <v>39</v>
      </c>
      <c r="C37" s="17"/>
      <c r="D37" s="17"/>
      <c r="E37" s="15"/>
    </row>
    <row r="40" spans="2:6" x14ac:dyDescent="0.3">
      <c r="B40" s="23" t="s">
        <v>35</v>
      </c>
      <c r="C40" s="23" t="s">
        <v>3</v>
      </c>
    </row>
    <row r="41" spans="2:6" x14ac:dyDescent="0.3">
      <c r="B41" s="13" t="s">
        <v>28</v>
      </c>
      <c r="C41" s="13" t="str">
        <f>VLOOKUP(B41,A1:F9,4,0)</f>
        <v>Hyderabad</v>
      </c>
    </row>
    <row r="45" spans="2:6" ht="18" x14ac:dyDescent="0.35">
      <c r="B45" s="22" t="s">
        <v>40</v>
      </c>
      <c r="C45" s="17"/>
      <c r="D45" s="17"/>
      <c r="E45" s="17"/>
      <c r="F45" s="15"/>
    </row>
    <row r="48" spans="2:6" x14ac:dyDescent="0.3">
      <c r="B48" s="24" t="s">
        <v>35</v>
      </c>
      <c r="C48" s="24" t="s">
        <v>1</v>
      </c>
    </row>
    <row r="49" spans="2:5" x14ac:dyDescent="0.3">
      <c r="B49" s="13" t="s">
        <v>41</v>
      </c>
      <c r="C49" s="19" t="str">
        <f>IFERROR(VLOOKUP(B49,A1:F9,2,0),"Not Found")</f>
        <v>Not Found</v>
      </c>
    </row>
    <row r="53" spans="2:5" ht="18" x14ac:dyDescent="0.35">
      <c r="B53" s="22" t="s">
        <v>42</v>
      </c>
      <c r="C53" s="17"/>
      <c r="D53" s="17"/>
      <c r="E53" s="15"/>
    </row>
    <row r="56" spans="2:5" x14ac:dyDescent="0.3">
      <c r="B56" s="25" t="s">
        <v>35</v>
      </c>
      <c r="C56" s="25" t="s">
        <v>43</v>
      </c>
    </row>
    <row r="57" spans="2:5" x14ac:dyDescent="0.3">
      <c r="B57" s="13" t="s">
        <v>6</v>
      </c>
      <c r="C57" s="13">
        <f>VLOOKUP(B57,A1:F9,6,0)</f>
        <v>2019</v>
      </c>
    </row>
    <row r="61" spans="2:5" ht="23.4" x14ac:dyDescent="0.45">
      <c r="B61" s="21" t="s">
        <v>44</v>
      </c>
    </row>
    <row r="64" spans="2:5" ht="18" x14ac:dyDescent="0.35">
      <c r="B64" s="17" t="s">
        <v>45</v>
      </c>
      <c r="C64" s="17"/>
      <c r="D64" s="17"/>
      <c r="E64" s="15"/>
    </row>
    <row r="67" spans="1:8" x14ac:dyDescent="0.3">
      <c r="B67" s="26" t="s">
        <v>2</v>
      </c>
      <c r="C67" s="26" t="s">
        <v>46</v>
      </c>
    </row>
    <row r="68" spans="1:8" x14ac:dyDescent="0.3">
      <c r="B68" s="13" t="s">
        <v>16</v>
      </c>
      <c r="C68" s="27">
        <f>HLOOKUP(B68,J1:O2,2,0)</f>
        <v>0.12</v>
      </c>
    </row>
    <row r="72" spans="1:8" ht="18" x14ac:dyDescent="0.35">
      <c r="B72" s="17" t="s">
        <v>47</v>
      </c>
      <c r="C72" s="17"/>
      <c r="D72" s="17"/>
      <c r="E72" s="17"/>
    </row>
    <row r="75" spans="1:8" x14ac:dyDescent="0.3">
      <c r="B75" s="28" t="s">
        <v>2</v>
      </c>
      <c r="C75" s="28" t="s">
        <v>46</v>
      </c>
    </row>
    <row r="76" spans="1:8" x14ac:dyDescent="0.3">
      <c r="B76" s="13" t="s">
        <v>20</v>
      </c>
      <c r="C76" s="29">
        <f>HLOOKUP(B76,J1:O2,2,0)</f>
        <v>0.15</v>
      </c>
    </row>
    <row r="80" spans="1:8" ht="18" x14ac:dyDescent="0.35">
      <c r="A80" s="9"/>
      <c r="B80" s="17" t="s">
        <v>48</v>
      </c>
      <c r="C80" s="17"/>
      <c r="D80" s="17"/>
      <c r="E80" s="17"/>
      <c r="F80" s="17"/>
      <c r="G80" s="15"/>
      <c r="H80" s="15"/>
    </row>
    <row r="83" spans="2:6" x14ac:dyDescent="0.3">
      <c r="B83" s="32" t="s">
        <v>35</v>
      </c>
      <c r="C83" s="32" t="s">
        <v>49</v>
      </c>
    </row>
    <row r="84" spans="2:6" x14ac:dyDescent="0.3">
      <c r="B84" s="13" t="s">
        <v>18</v>
      </c>
      <c r="C84" s="19"/>
    </row>
    <row r="88" spans="2:6" ht="18" x14ac:dyDescent="0.35">
      <c r="B88" s="17" t="s">
        <v>50</v>
      </c>
      <c r="C88" s="17"/>
      <c r="D88" s="17"/>
      <c r="E88" s="17"/>
      <c r="F88" s="15"/>
    </row>
    <row r="91" spans="2:6" x14ac:dyDescent="0.3">
      <c r="B91" s="33" t="s">
        <v>2</v>
      </c>
      <c r="C91" s="33" t="s">
        <v>49</v>
      </c>
    </row>
    <row r="92" spans="2:6" x14ac:dyDescent="0.3">
      <c r="B92" s="19" t="s">
        <v>51</v>
      </c>
      <c r="C92" s="19" t="str">
        <f>IFERROR(HLOOKUP(B92,J1:O4,4,0),"No Bonus Data")</f>
        <v>No Bonus Data</v>
      </c>
    </row>
    <row r="96" spans="2:6" ht="23.4" x14ac:dyDescent="0.45">
      <c r="B96" s="34" t="s">
        <v>52</v>
      </c>
    </row>
    <row r="99" spans="2:5" ht="18" x14ac:dyDescent="0.35">
      <c r="B99" s="17" t="s">
        <v>53</v>
      </c>
      <c r="C99" s="17"/>
      <c r="D99" s="15"/>
    </row>
    <row r="102" spans="2:5" x14ac:dyDescent="0.3">
      <c r="B102" s="35" t="s">
        <v>35</v>
      </c>
      <c r="C102" s="35" t="s">
        <v>4</v>
      </c>
    </row>
    <row r="103" spans="2:5" x14ac:dyDescent="0.3">
      <c r="B103" s="13" t="s">
        <v>18</v>
      </c>
      <c r="C103" s="13">
        <f>_xlfn.XLOOKUP(B103,A1:A9,E1:E9)</f>
        <v>58000</v>
      </c>
    </row>
    <row r="107" spans="2:5" ht="18" x14ac:dyDescent="0.35">
      <c r="B107" s="17" t="s">
        <v>54</v>
      </c>
      <c r="C107" s="17"/>
      <c r="D107" s="17"/>
      <c r="E107" s="15"/>
    </row>
    <row r="110" spans="2:5" x14ac:dyDescent="0.3">
      <c r="B110" s="36" t="s">
        <v>55</v>
      </c>
      <c r="C110" s="36" t="s">
        <v>2</v>
      </c>
    </row>
    <row r="111" spans="2:5" x14ac:dyDescent="0.3">
      <c r="B111" s="13" t="s">
        <v>23</v>
      </c>
      <c r="C111" s="13" t="str">
        <f>_xlfn.XLOOKUP(B111,B1:B9,C1:C9)</f>
        <v>Marketing</v>
      </c>
    </row>
    <row r="115" spans="2:6" ht="18" x14ac:dyDescent="0.35">
      <c r="B115" s="17" t="s">
        <v>56</v>
      </c>
      <c r="C115" s="17"/>
      <c r="D115" s="17"/>
      <c r="E115" s="15"/>
    </row>
    <row r="118" spans="2:6" x14ac:dyDescent="0.3">
      <c r="B118" s="37" t="s">
        <v>3</v>
      </c>
      <c r="C118" s="37" t="s">
        <v>57</v>
      </c>
    </row>
    <row r="119" spans="2:6" x14ac:dyDescent="0.3">
      <c r="B119" s="19" t="s">
        <v>9</v>
      </c>
      <c r="C119" s="19" t="str">
        <f>_xlfn.XLOOKUP(B119,D1:D9,B1:B9)</f>
        <v>Rahul Sharma</v>
      </c>
    </row>
    <row r="123" spans="2:6" ht="18" x14ac:dyDescent="0.35">
      <c r="B123" s="17" t="s">
        <v>58</v>
      </c>
      <c r="C123" s="17"/>
      <c r="D123" s="17"/>
      <c r="E123" s="17"/>
      <c r="F123" s="15"/>
    </row>
    <row r="126" spans="2:6" x14ac:dyDescent="0.3">
      <c r="B126" s="38" t="s">
        <v>35</v>
      </c>
      <c r="C126" s="38" t="s">
        <v>57</v>
      </c>
    </row>
    <row r="127" spans="2:6" x14ac:dyDescent="0.3">
      <c r="B127" s="19" t="s">
        <v>59</v>
      </c>
      <c r="C127" s="19" t="str">
        <f>IFERROR(_xlfn.XLOOKUP(B127,A1:A9,B1:B9),"EMP Not Found")</f>
        <v>EMP Not Found</v>
      </c>
    </row>
    <row r="131" spans="2:8" ht="18" x14ac:dyDescent="0.35">
      <c r="B131" s="17" t="s">
        <v>60</v>
      </c>
      <c r="C131" s="17"/>
      <c r="D131" s="17"/>
      <c r="E131" s="17"/>
      <c r="F131" s="17"/>
      <c r="G131" s="17"/>
      <c r="H131" s="15"/>
    </row>
    <row r="134" spans="2:8" x14ac:dyDescent="0.3">
      <c r="B134" s="14" t="s">
        <v>46</v>
      </c>
      <c r="C134" s="14" t="s">
        <v>61</v>
      </c>
    </row>
    <row r="135" spans="2:8" x14ac:dyDescent="0.3">
      <c r="B135" s="29">
        <v>0.12</v>
      </c>
      <c r="C135" s="13" t="str">
        <f>_xlfn.XLOOKUP(B135,G1:G9,C1:C9)</f>
        <v>IT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chavda</dc:creator>
  <cp:lastModifiedBy>rahul chavda</cp:lastModifiedBy>
  <dcterms:created xsi:type="dcterms:W3CDTF">2026-06-29T21:07:04Z</dcterms:created>
  <dcterms:modified xsi:type="dcterms:W3CDTF">2026-06-30T06:23:09Z</dcterms:modified>
</cp:coreProperties>
</file>